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filterPrivacy="1" codeName="ThisWorkbook" defaultThemeVersion="166925"/>
  <xr:revisionPtr revIDLastSave="0" documentId="13_ncr:1_{2A14E3C5-7E72-4FC8-A298-30B57063A0D7}" xr6:coauthVersionLast="45" xr6:coauthVersionMax="45" xr10:uidLastSave="{00000000-0000-0000-0000-000000000000}"/>
  <bookViews>
    <workbookView xWindow="-120" yWindow="-120" windowWidth="29040" windowHeight="15840" tabRatio="756" xr2:uid="{0BD2281E-93C4-4E21-9E84-AF46201473C9}"/>
  </bookViews>
  <sheets>
    <sheet name="Cover" sheetId="15" r:id="rId1"/>
    <sheet name="Evaluation" sheetId="9" state="hidden" r:id="rId2"/>
    <sheet name="Finale finale Tabelle" sheetId="16" r:id="rId3"/>
    <sheet name="6.3 (Dummy, no extracteds)" sheetId="11" r:id="rId4"/>
    <sheet name="6.3 (DT, no extracteds)" sheetId="10" r:id="rId5"/>
    <sheet name="6.3 RF (no extracteds)" sheetId="8" r:id="rId6"/>
    <sheet name="6.3 Dummy " sheetId="2" r:id="rId7"/>
    <sheet name="6.3 Dummy  Values" sheetId="19" r:id="rId8"/>
    <sheet name="6.3 DT" sheetId="4" r:id="rId9"/>
    <sheet name="6.3 DT Values" sheetId="18" r:id="rId10"/>
    <sheet name="6.3 RF" sheetId="5" r:id="rId11"/>
    <sheet name="6.3 RF Values" sheetId="17" r:id="rId12"/>
    <sheet name="6.3 DT Tuned" sheetId="12" r:id="rId13"/>
    <sheet name="6.3 DT Tuned Val" sheetId="21" r:id="rId14"/>
    <sheet name="6.3 RF Tuned" sheetId="1" r:id="rId15"/>
    <sheet name="6.3 RF Tuned Val" sheetId="22" r:id="rId16"/>
    <sheet name="6.4 Feature Importances" sheetId="23" r:id="rId17"/>
    <sheet name="6.5 Best Params RF" sheetId="24" r:id="rId18"/>
    <sheet name="6.5 Best Params DT" sheetId="25" r:id="rId1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6" i="16" l="1"/>
  <c r="A7" i="16" s="1"/>
  <c r="A8" i="16" s="1"/>
  <c r="A9" i="16" s="1"/>
  <c r="A10" i="16" s="1"/>
  <c r="A13" i="16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12" i="16"/>
  <c r="M75" i="16"/>
  <c r="I71" i="16"/>
  <c r="E67" i="16"/>
  <c r="P62" i="16"/>
  <c r="L58" i="16"/>
  <c r="H54" i="16"/>
  <c r="D50" i="16"/>
  <c r="O45" i="16"/>
  <c r="H75" i="16"/>
  <c r="D71" i="16"/>
  <c r="O66" i="16"/>
  <c r="K62" i="16"/>
  <c r="G58" i="16"/>
  <c r="R53" i="16"/>
  <c r="N49" i="16"/>
  <c r="G75" i="16"/>
  <c r="N66" i="16"/>
  <c r="F58" i="16"/>
  <c r="M49" i="16"/>
  <c r="R42" i="16"/>
  <c r="N38" i="16"/>
  <c r="J34" i="16"/>
  <c r="L73" i="16"/>
  <c r="D65" i="16"/>
  <c r="K56" i="16"/>
  <c r="R47" i="16"/>
  <c r="E42" i="16"/>
  <c r="P37" i="16"/>
  <c r="L33" i="16"/>
  <c r="H29" i="16"/>
  <c r="P72" i="16"/>
  <c r="H64" i="16"/>
  <c r="H74" i="16"/>
  <c r="D70" i="16"/>
  <c r="O65" i="16"/>
  <c r="K61" i="16"/>
  <c r="G57" i="16"/>
  <c r="R52" i="16"/>
  <c r="N48" i="16"/>
  <c r="J44" i="16"/>
  <c r="R73" i="16"/>
  <c r="N69" i="16"/>
  <c r="J65" i="16"/>
  <c r="F61" i="16"/>
  <c r="Q56" i="16"/>
  <c r="M52" i="16"/>
  <c r="I48" i="16"/>
  <c r="L72" i="16"/>
  <c r="D64" i="16"/>
  <c r="K55" i="16"/>
  <c r="R46" i="16"/>
  <c r="M41" i="16"/>
  <c r="I37" i="16"/>
  <c r="E33" i="16"/>
  <c r="Q70" i="16"/>
  <c r="I62" i="16"/>
  <c r="P53" i="16"/>
  <c r="M45" i="16"/>
  <c r="R72" i="16"/>
  <c r="N68" i="16"/>
  <c r="J64" i="16"/>
  <c r="F60" i="16"/>
  <c r="Q55" i="16"/>
  <c r="M51" i="16"/>
  <c r="I47" i="16"/>
  <c r="Q76" i="16"/>
  <c r="M72" i="16"/>
  <c r="I68" i="16"/>
  <c r="E64" i="16"/>
  <c r="P59" i="16"/>
  <c r="L55" i="16"/>
  <c r="H51" i="16"/>
  <c r="D47" i="16"/>
  <c r="Q69" i="16"/>
  <c r="I61" i="16"/>
  <c r="P52" i="16"/>
  <c r="D45" i="16"/>
  <c r="H40" i="16"/>
  <c r="D36" i="16"/>
  <c r="O76" i="16"/>
  <c r="G68" i="16"/>
  <c r="N59" i="16"/>
  <c r="F51" i="16"/>
  <c r="P43" i="16"/>
  <c r="J39" i="16"/>
  <c r="F35" i="16"/>
  <c r="Q30" i="16"/>
  <c r="P74" i="16"/>
  <c r="L70" i="16"/>
  <c r="H66" i="16"/>
  <c r="D62" i="16"/>
  <c r="O57" i="16"/>
  <c r="K53" i="16"/>
  <c r="G49" i="16"/>
  <c r="R44" i="16"/>
  <c r="K74" i="16"/>
  <c r="G70" i="16"/>
  <c r="R65" i="16"/>
  <c r="N61" i="16"/>
  <c r="J57" i="16"/>
  <c r="F53" i="16"/>
  <c r="Q48" i="16"/>
  <c r="M73" i="16"/>
  <c r="E65" i="16"/>
  <c r="L56" i="16"/>
  <c r="D48" i="16"/>
  <c r="F42" i="16"/>
  <c r="Q37" i="16"/>
  <c r="M33" i="16"/>
  <c r="R71" i="16"/>
  <c r="J63" i="16"/>
  <c r="Q54" i="16"/>
  <c r="P41" i="16"/>
  <c r="H33" i="16"/>
  <c r="K75" i="16"/>
  <c r="O63" i="16"/>
  <c r="N54" i="16"/>
  <c r="N63" i="16"/>
  <c r="G42" i="16"/>
  <c r="N33" i="16"/>
  <c r="I27" i="16"/>
  <c r="D23" i="16"/>
  <c r="O18" i="16"/>
  <c r="K14" i="16"/>
  <c r="F10" i="16"/>
  <c r="Q5" i="16"/>
  <c r="H17" i="16"/>
  <c r="K73" i="16"/>
  <c r="F68" i="16"/>
  <c r="O61" i="16"/>
  <c r="J56" i="16"/>
  <c r="E51" i="16"/>
  <c r="N44" i="16"/>
  <c r="F73" i="16"/>
  <c r="P67" i="16"/>
  <c r="J61" i="16"/>
  <c r="E56" i="16"/>
  <c r="O50" i="16"/>
  <c r="E73" i="16"/>
  <c r="J62" i="16"/>
  <c r="O51" i="16"/>
  <c r="Q41" i="16"/>
  <c r="L36" i="16"/>
  <c r="N75" i="16"/>
  <c r="Q62" i="16"/>
  <c r="G52" i="16"/>
  <c r="F43" i="16"/>
  <c r="O36" i="16"/>
  <c r="J31" i="16"/>
  <c r="R74" i="16"/>
  <c r="F62" i="16"/>
  <c r="F72" i="16"/>
  <c r="P66" i="16"/>
  <c r="J60" i="16"/>
  <c r="E55" i="16"/>
  <c r="O49" i="16"/>
  <c r="I43" i="16"/>
  <c r="P71" i="16"/>
  <c r="K66" i="16"/>
  <c r="E60" i="16"/>
  <c r="O54" i="16"/>
  <c r="J49" i="16"/>
  <c r="J70" i="16"/>
  <c r="O59" i="16"/>
  <c r="E49" i="16"/>
  <c r="L40" i="16"/>
  <c r="G35" i="16"/>
  <c r="D73" i="16"/>
  <c r="G60" i="16"/>
  <c r="L49" i="16"/>
  <c r="D74" i="16"/>
  <c r="M67" i="16"/>
  <c r="H62" i="16"/>
  <c r="R56" i="16"/>
  <c r="L50" i="16"/>
  <c r="G45" i="16"/>
  <c r="N73" i="16"/>
  <c r="H67" i="16"/>
  <c r="R61" i="16"/>
  <c r="M56" i="16"/>
  <c r="G50" i="16"/>
  <c r="F74" i="16"/>
  <c r="K63" i="16"/>
  <c r="N50" i="16"/>
  <c r="J42" i="16"/>
  <c r="E37" i="16"/>
  <c r="M74" i="16"/>
  <c r="R63" i="16"/>
  <c r="H53" i="16"/>
  <c r="M42" i="16"/>
  <c r="H37" i="16"/>
  <c r="R31" i="16"/>
  <c r="O73" i="16"/>
  <c r="J68" i="16"/>
  <c r="E63" i="16"/>
  <c r="N56" i="16"/>
  <c r="I51" i="16"/>
  <c r="D46" i="16"/>
  <c r="J73" i="16"/>
  <c r="E68" i="16"/>
  <c r="O62" i="16"/>
  <c r="I56" i="16"/>
  <c r="D51" i="16"/>
  <c r="O75" i="16"/>
  <c r="R62" i="16"/>
  <c r="H52" i="16"/>
  <c r="G43" i="16"/>
  <c r="P36" i="16"/>
  <c r="G76" i="16"/>
  <c r="L65" i="16"/>
  <c r="O52" i="16"/>
  <c r="L37" i="16"/>
  <c r="N27" i="16"/>
  <c r="E61" i="16"/>
  <c r="J50" i="16"/>
  <c r="O44" i="16"/>
  <c r="M31" i="16"/>
  <c r="F25" i="16"/>
  <c r="P19" i="16"/>
  <c r="J13" i="16"/>
  <c r="D8" i="16"/>
  <c r="J19" i="16"/>
  <c r="K9" i="16"/>
  <c r="H42" i="16"/>
  <c r="I50" i="16"/>
  <c r="P38" i="16"/>
  <c r="P30" i="16"/>
  <c r="M25" i="16"/>
  <c r="I21" i="16"/>
  <c r="E17" i="16"/>
  <c r="P12" i="16"/>
  <c r="K8" i="16"/>
  <c r="F71" i="16"/>
  <c r="I44" i="16"/>
  <c r="L35" i="16"/>
  <c r="M28" i="16"/>
  <c r="R23" i="16"/>
  <c r="F15" i="16"/>
  <c r="O5" i="16"/>
  <c r="O41" i="16"/>
  <c r="R20" i="16"/>
  <c r="F39" i="16"/>
  <c r="M30" i="16"/>
  <c r="O71" i="16"/>
  <c r="L60" i="16"/>
  <c r="D52" i="16"/>
  <c r="D53" i="16"/>
  <c r="L39" i="16"/>
  <c r="H31" i="16"/>
  <c r="R25" i="16"/>
  <c r="N21" i="16"/>
  <c r="J17" i="16"/>
  <c r="F13" i="16"/>
  <c r="P8" i="16"/>
  <c r="F23" i="16"/>
  <c r="Q14" i="16"/>
  <c r="E7" i="16"/>
  <c r="P73" i="16"/>
  <c r="F45" i="16"/>
  <c r="F36" i="16"/>
  <c r="E29" i="16"/>
  <c r="H24" i="16"/>
  <c r="D20" i="16"/>
  <c r="O15" i="16"/>
  <c r="J11" i="16"/>
  <c r="F7" i="16"/>
  <c r="K60" i="16"/>
  <c r="J41" i="16"/>
  <c r="Q32" i="16"/>
  <c r="Q26" i="16"/>
  <c r="Q42" i="16"/>
  <c r="I34" i="16"/>
  <c r="L76" i="16"/>
  <c r="I65" i="16"/>
  <c r="O55" i="16"/>
  <c r="R67" i="16"/>
  <c r="H43" i="16"/>
  <c r="O34" i="16"/>
  <c r="E28" i="16"/>
  <c r="L23" i="16"/>
  <c r="H19" i="16"/>
  <c r="D15" i="16"/>
  <c r="N10" i="16"/>
  <c r="J6" i="16"/>
  <c r="I18" i="16"/>
  <c r="L10" i="16"/>
  <c r="P44" i="16"/>
  <c r="M54" i="16"/>
  <c r="Q39" i="16"/>
  <c r="L31" i="16"/>
  <c r="F26" i="16"/>
  <c r="Q21" i="16"/>
  <c r="M17" i="16"/>
  <c r="I13" i="16"/>
  <c r="D9" i="16"/>
  <c r="J75" i="16"/>
  <c r="P45" i="16"/>
  <c r="M36" i="16"/>
  <c r="I29" i="16"/>
  <c r="K24" i="16"/>
  <c r="G16" i="16"/>
  <c r="P6" i="16"/>
  <c r="G40" i="16"/>
  <c r="N31" i="16"/>
  <c r="I73" i="16"/>
  <c r="M61" i="16"/>
  <c r="E53" i="16"/>
  <c r="H57" i="16"/>
  <c r="M40" i="16"/>
  <c r="E32" i="16"/>
  <c r="K26" i="16"/>
  <c r="G22" i="16"/>
  <c r="R17" i="16"/>
  <c r="N13" i="16"/>
  <c r="I9" i="16"/>
  <c r="E5" i="16"/>
  <c r="R15" i="16"/>
  <c r="Q7" i="16"/>
  <c r="E39" i="16"/>
  <c r="N46" i="16"/>
  <c r="G37" i="16"/>
  <c r="O29" i="16"/>
  <c r="P24" i="16"/>
  <c r="L20" i="16"/>
  <c r="E13" i="16"/>
  <c r="E36" i="16"/>
  <c r="N15" i="16"/>
  <c r="I49" i="16"/>
  <c r="Q19" i="16"/>
  <c r="I31" i="16"/>
  <c r="N5" i="16"/>
  <c r="N30" i="16"/>
  <c r="L22" i="16"/>
  <c r="G21" i="16"/>
  <c r="F32" i="16"/>
  <c r="H16" i="16"/>
  <c r="K42" i="16"/>
  <c r="F19" i="16"/>
  <c r="E62" i="16"/>
  <c r="F24" i="16"/>
  <c r="R5" i="16"/>
  <c r="D11" i="16"/>
  <c r="L7" i="16"/>
  <c r="M29" i="16"/>
  <c r="Q15" i="16"/>
  <c r="M6" i="16"/>
  <c r="I26" i="16"/>
  <c r="N8" i="16"/>
  <c r="L38" i="16"/>
  <c r="K13" i="16"/>
  <c r="O21" i="16"/>
  <c r="K21" i="16"/>
  <c r="M19" i="16"/>
  <c r="M8" i="16"/>
  <c r="P14" i="16"/>
  <c r="H22" i="16"/>
  <c r="P9" i="16"/>
  <c r="J30" i="16"/>
  <c r="G12" i="16"/>
  <c r="P42" i="16"/>
  <c r="N16" i="16"/>
  <c r="D26" i="16"/>
  <c r="F28" i="16"/>
  <c r="K37" i="16"/>
  <c r="E15" i="16"/>
  <c r="J72" i="16"/>
  <c r="D66" i="16"/>
  <c r="N60" i="16"/>
  <c r="I55" i="16"/>
  <c r="R48" i="16"/>
  <c r="M43" i="16"/>
  <c r="E72" i="16"/>
  <c r="N65" i="16"/>
  <c r="I60" i="16"/>
  <c r="D55" i="16"/>
  <c r="M48" i="16"/>
  <c r="R70" i="16"/>
  <c r="H60" i="16"/>
  <c r="K47" i="16"/>
  <c r="P40" i="16"/>
  <c r="K35" i="16"/>
  <c r="J71" i="16"/>
  <c r="G69" i="16"/>
  <c r="K57" i="16"/>
  <c r="P46" i="16"/>
  <c r="Q68" i="16"/>
  <c r="F57" i="16"/>
  <c r="K46" i="16"/>
  <c r="Q53" i="16"/>
  <c r="M37" i="16"/>
  <c r="F67" i="16"/>
  <c r="E50" i="16"/>
  <c r="R39" i="16"/>
  <c r="K32" i="16"/>
  <c r="N70" i="16"/>
  <c r="I75" i="16"/>
  <c r="Q67" i="16"/>
  <c r="I59" i="16"/>
  <c r="Q51" i="16"/>
  <c r="K45" i="16"/>
  <c r="O70" i="16"/>
  <c r="H63" i="16"/>
  <c r="P55" i="16"/>
  <c r="H47" i="16"/>
  <c r="F66" i="16"/>
  <c r="G51" i="16"/>
  <c r="K39" i="16"/>
  <c r="D32" i="16"/>
  <c r="K64" i="16"/>
  <c r="J47" i="16"/>
  <c r="P70" i="16"/>
  <c r="I63" i="16"/>
  <c r="P54" i="16"/>
  <c r="J48" i="16"/>
  <c r="O74" i="16"/>
  <c r="G66" i="16"/>
  <c r="O58" i="16"/>
  <c r="I52" i="16"/>
  <c r="D72" i="16"/>
  <c r="E57" i="16"/>
  <c r="L43" i="16"/>
  <c r="R34" i="16"/>
  <c r="I70" i="16"/>
  <c r="J55" i="16"/>
  <c r="L41" i="16"/>
  <c r="E34" i="16"/>
  <c r="Q75" i="16"/>
  <c r="I67" i="16"/>
  <c r="Q59" i="16"/>
  <c r="J52" i="16"/>
  <c r="Q43" i="16"/>
  <c r="H71" i="16"/>
  <c r="P63" i="16"/>
  <c r="H55" i="16"/>
  <c r="P47" i="16"/>
  <c r="G67" i="16"/>
  <c r="F50" i="16"/>
  <c r="D40" i="16"/>
  <c r="L32" i="16"/>
  <c r="H61" i="16"/>
  <c r="G44" i="16"/>
  <c r="D29" i="16"/>
  <c r="R58" i="16"/>
  <c r="F55" i="16"/>
  <c r="P35" i="16"/>
  <c r="E24" i="16"/>
  <c r="M16" i="16"/>
  <c r="E9" i="16"/>
  <c r="J15" i="16"/>
  <c r="K5" i="16"/>
  <c r="Q58" i="16"/>
  <c r="N36" i="16"/>
  <c r="D28" i="16"/>
  <c r="J22" i="16"/>
  <c r="D16" i="16"/>
  <c r="M10" i="16"/>
  <c r="H5" i="16"/>
  <c r="R41" i="16"/>
  <c r="K31" i="16"/>
  <c r="D25" i="16"/>
  <c r="O12" i="16"/>
  <c r="R59" i="16"/>
  <c r="G25" i="16"/>
  <c r="D37" i="16"/>
  <c r="J27" i="16"/>
  <c r="G63" i="16"/>
  <c r="Q49" i="16"/>
  <c r="D44" i="16"/>
  <c r="F33" i="16"/>
  <c r="Q24" i="16"/>
  <c r="L19" i="16"/>
  <c r="G14" i="16"/>
  <c r="O7" i="16"/>
  <c r="Q18" i="16"/>
  <c r="R8" i="16"/>
  <c r="H65" i="16"/>
  <c r="J40" i="16"/>
  <c r="K30" i="16"/>
  <c r="G23" i="16"/>
  <c r="Q17" i="16"/>
  <c r="L12" i="16"/>
  <c r="E6" i="16"/>
  <c r="M46" i="16"/>
  <c r="D35" i="16"/>
  <c r="P25" i="16"/>
  <c r="M38" i="16"/>
  <c r="K28" i="16"/>
  <c r="N62" i="16"/>
  <c r="K51" i="16"/>
  <c r="F46" i="16"/>
  <c r="M32" i="16"/>
  <c r="N25" i="16"/>
  <c r="I20" i="16"/>
  <c r="R13" i="16"/>
  <c r="L8" i="16"/>
  <c r="K20" i="16"/>
  <c r="J8" i="16"/>
  <c r="N71" i="16"/>
  <c r="D42" i="16"/>
  <c r="F30" i="16"/>
  <c r="D24" i="16"/>
  <c r="N18" i="16"/>
  <c r="H12" i="16"/>
  <c r="Q6" i="16"/>
  <c r="P49" i="16"/>
  <c r="K34" i="16"/>
  <c r="M26" i="16"/>
  <c r="M18" i="16"/>
  <c r="O72" i="16"/>
  <c r="H70" i="16"/>
  <c r="G53" i="16"/>
  <c r="G74" i="16"/>
  <c r="H59" i="16"/>
  <c r="P68" i="16"/>
  <c r="H44" i="16"/>
  <c r="H69" i="16"/>
  <c r="R45" i="16"/>
  <c r="N35" i="16"/>
  <c r="F27" i="16"/>
  <c r="G73" i="16"/>
  <c r="M63" i="16"/>
  <c r="D54" i="16"/>
  <c r="E76" i="16"/>
  <c r="L67" i="16"/>
  <c r="R57" i="16"/>
  <c r="P76" i="16"/>
  <c r="M57" i="16"/>
  <c r="N42" i="16"/>
  <c r="F75" i="16"/>
  <c r="R55" i="16"/>
  <c r="Q71" i="16"/>
  <c r="G61" i="16"/>
  <c r="N52" i="16"/>
  <c r="P75" i="16"/>
  <c r="F65" i="16"/>
  <c r="K54" i="16"/>
  <c r="H76" i="16"/>
  <c r="R54" i="16"/>
  <c r="G39" i="16"/>
  <c r="K72" i="16"/>
  <c r="D49" i="16"/>
  <c r="I38" i="16"/>
  <c r="R76" i="16"/>
  <c r="G65" i="16"/>
  <c r="M55" i="16"/>
  <c r="E47" i="16"/>
  <c r="F69" i="16"/>
  <c r="L59" i="16"/>
  <c r="R49" i="16"/>
  <c r="P60" i="16"/>
  <c r="M44" i="16"/>
  <c r="N34" i="16"/>
  <c r="F59" i="16"/>
  <c r="J35" i="16"/>
  <c r="R66" i="16"/>
  <c r="G48" i="16"/>
  <c r="P28" i="16"/>
  <c r="N17" i="16"/>
  <c r="R6" i="16"/>
  <c r="I11" i="16"/>
  <c r="J67" i="16"/>
  <c r="L34" i="16"/>
  <c r="L24" i="16"/>
  <c r="F18" i="16"/>
  <c r="L9" i="16"/>
  <c r="E54" i="16"/>
  <c r="J33" i="16"/>
  <c r="P21" i="16"/>
  <c r="F8" i="16"/>
  <c r="H30" i="16"/>
  <c r="Q34" i="16"/>
  <c r="E69" i="16"/>
  <c r="F54" i="16"/>
  <c r="N41" i="16"/>
  <c r="J28" i="16"/>
  <c r="M20" i="16"/>
  <c r="E12" i="16"/>
  <c r="M5" i="16"/>
  <c r="P10" i="16"/>
  <c r="O56" i="16"/>
  <c r="D34" i="16"/>
  <c r="I25" i="16"/>
  <c r="P16" i="16"/>
  <c r="H9" i="16"/>
  <c r="R51" i="16"/>
  <c r="E31" i="16"/>
  <c r="I46" i="16"/>
  <c r="E30" i="16"/>
  <c r="D60" i="16"/>
  <c r="J59" i="16"/>
  <c r="Q36" i="16"/>
  <c r="M24" i="16"/>
  <c r="F17" i="16"/>
  <c r="M9" i="16"/>
  <c r="K16" i="16"/>
  <c r="N55" i="16"/>
  <c r="K44" i="16"/>
  <c r="N28" i="16"/>
  <c r="P20" i="16"/>
  <c r="J14" i="16"/>
  <c r="P5" i="16"/>
  <c r="Q40" i="16"/>
  <c r="Q27" i="16"/>
  <c r="E14" i="16"/>
  <c r="I42" i="16"/>
  <c r="L29" i="16"/>
  <c r="K67" i="16"/>
  <c r="G55" i="16"/>
  <c r="H49" i="16"/>
  <c r="I36" i="16"/>
  <c r="O27" i="16"/>
  <c r="F21" i="16"/>
  <c r="P15" i="16"/>
  <c r="J10" i="16"/>
  <c r="E22" i="16"/>
  <c r="Q11" i="16"/>
  <c r="J43" i="16"/>
  <c r="O43" i="16"/>
  <c r="R32" i="16"/>
  <c r="Q25" i="16"/>
  <c r="K19" i="16"/>
  <c r="H73" i="16"/>
  <c r="G20" i="16"/>
  <c r="N40" i="16"/>
  <c r="H11" i="16"/>
  <c r="F12" i="16"/>
  <c r="E27" i="16"/>
  <c r="J36" i="16"/>
  <c r="H7" i="16"/>
  <c r="R11" i="16"/>
  <c r="L27" i="16"/>
  <c r="G5" i="16"/>
  <c r="P18" i="16"/>
  <c r="Q23" i="16"/>
  <c r="F16" i="16"/>
  <c r="J20" i="16"/>
  <c r="Q63" i="16"/>
  <c r="I76" i="16"/>
  <c r="Q52" i="16"/>
  <c r="D56" i="16"/>
  <c r="H32" i="16"/>
  <c r="L44" i="16"/>
  <c r="I30" i="16"/>
  <c r="J76" i="16"/>
  <c r="L62" i="16"/>
  <c r="M47" i="16"/>
  <c r="M68" i="16"/>
  <c r="N53" i="16"/>
  <c r="H68" i="16"/>
  <c r="R43" i="16"/>
  <c r="O68" i="16"/>
  <c r="F76" i="16"/>
  <c r="K65" i="16"/>
  <c r="K49" i="16"/>
  <c r="K70" i="16"/>
  <c r="N57" i="16"/>
  <c r="O67" i="16"/>
  <c r="J46" i="16"/>
  <c r="P32" i="16"/>
  <c r="Q46" i="16"/>
  <c r="D33" i="16"/>
  <c r="K69" i="16"/>
  <c r="L54" i="16"/>
  <c r="L75" i="16"/>
  <c r="M60" i="16"/>
  <c r="O46" i="16"/>
  <c r="J54" i="16"/>
  <c r="O35" i="16"/>
  <c r="D57" i="16"/>
  <c r="H72" i="16"/>
  <c r="G72" i="16"/>
  <c r="G26" i="16"/>
  <c r="I12" i="16"/>
  <c r="H13" i="16"/>
  <c r="Q45" i="16"/>
  <c r="J29" i="16"/>
  <c r="G19" i="16"/>
  <c r="J7" i="16"/>
  <c r="P39" i="16"/>
  <c r="E26" i="16"/>
  <c r="K68" i="16"/>
  <c r="K43" i="16"/>
  <c r="J74" i="16"/>
  <c r="E70" i="16"/>
  <c r="H35" i="16"/>
  <c r="O22" i="16"/>
  <c r="R10" i="16"/>
  <c r="O16" i="16"/>
  <c r="G41" i="16"/>
  <c r="Q31" i="16"/>
  <c r="E21" i="16"/>
  <c r="I10" i="16"/>
  <c r="N43" i="16"/>
  <c r="H28" i="16"/>
  <c r="G32" i="16"/>
  <c r="Q57" i="16"/>
  <c r="F41" i="16"/>
  <c r="O26" i="16"/>
  <c r="E16" i="16"/>
  <c r="I5" i="16"/>
  <c r="L6" i="16"/>
  <c r="O37" i="16"/>
  <c r="E25" i="16"/>
  <c r="K15" i="16"/>
  <c r="Q66" i="16"/>
  <c r="I32" i="16"/>
  <c r="O20" i="16"/>
  <c r="E38" i="16"/>
  <c r="D76" i="16"/>
  <c r="I57" i="16"/>
  <c r="J45" i="16"/>
  <c r="L30" i="16"/>
  <c r="H23" i="16"/>
  <c r="O14" i="16"/>
  <c r="G7" i="16"/>
  <c r="P13" i="16"/>
  <c r="L69" i="16"/>
  <c r="I39" i="16"/>
  <c r="R26" i="16"/>
  <c r="J18" i="16"/>
  <c r="R28" i="16"/>
  <c r="G64" i="16"/>
  <c r="D7" i="16"/>
  <c r="G17" i="16"/>
  <c r="R12" i="16"/>
  <c r="F20" i="16"/>
  <c r="O64" i="16"/>
  <c r="O9" i="16"/>
  <c r="L14" i="16"/>
  <c r="R36" i="16"/>
  <c r="R9" i="16"/>
  <c r="G15" i="16"/>
  <c r="P31" i="16"/>
  <c r="M70" i="16"/>
  <c r="E23" i="16"/>
  <c r="L28" i="16"/>
  <c r="D14" i="16"/>
  <c r="P26" i="16"/>
  <c r="E19" i="16"/>
  <c r="O13" i="16"/>
  <c r="O48" i="16"/>
  <c r="D17" i="16"/>
  <c r="Q35" i="16"/>
  <c r="E8" i="16"/>
  <c r="P7" i="16"/>
  <c r="J16" i="16"/>
  <c r="D18" i="16"/>
  <c r="N76" i="16"/>
  <c r="M59" i="16"/>
  <c r="R69" i="16"/>
  <c r="P51" i="16"/>
  <c r="N45" i="16"/>
  <c r="O60" i="16"/>
  <c r="D41" i="16"/>
  <c r="G28" i="16"/>
  <c r="E71" i="16"/>
  <c r="H58" i="16"/>
  <c r="L46" i="16"/>
  <c r="I64" i="16"/>
  <c r="L51" i="16"/>
  <c r="Q61" i="16"/>
  <c r="J38" i="16"/>
  <c r="M66" i="16"/>
  <c r="E75" i="16"/>
  <c r="E59" i="16"/>
  <c r="H46" i="16"/>
  <c r="J69" i="16"/>
  <c r="J53" i="16"/>
  <c r="M65" i="16"/>
  <c r="I41" i="16"/>
  <c r="E66" i="16"/>
  <c r="H45" i="16"/>
  <c r="P29" i="16"/>
  <c r="F64" i="16"/>
  <c r="H50" i="16"/>
  <c r="I72" i="16"/>
  <c r="K58" i="16"/>
  <c r="K71" i="16"/>
  <c r="E46" i="16"/>
  <c r="E74" i="16"/>
  <c r="M50" i="16"/>
  <c r="M69" i="16"/>
  <c r="E40" i="16"/>
  <c r="R21" i="16"/>
  <c r="G11" i="16"/>
  <c r="I7" i="16"/>
  <c r="E43" i="16"/>
  <c r="N26" i="16"/>
  <c r="R14" i="16"/>
  <c r="I6" i="16"/>
  <c r="N37" i="16"/>
  <c r="N19" i="16"/>
  <c r="G47" i="16"/>
  <c r="H41" i="16"/>
  <c r="Q65" i="16"/>
  <c r="L61" i="16"/>
  <c r="Q29" i="16"/>
  <c r="K18" i="16"/>
  <c r="Q9" i="16"/>
  <c r="D13" i="16"/>
  <c r="P48" i="16"/>
  <c r="M27" i="16"/>
  <c r="R18" i="16"/>
  <c r="G8" i="16"/>
  <c r="H39" i="16"/>
  <c r="O24" i="16"/>
  <c r="Q73" i="16"/>
  <c r="M53" i="16"/>
  <c r="D39" i="16"/>
  <c r="K22" i="16"/>
  <c r="Q12" i="16"/>
  <c r="M22" i="16"/>
  <c r="F40" i="16"/>
  <c r="M35" i="16"/>
  <c r="R22" i="16"/>
  <c r="F11" i="16"/>
  <c r="I58" i="16"/>
  <c r="O30" i="16"/>
  <c r="M11" i="16"/>
  <c r="R35" i="16"/>
  <c r="F70" i="16"/>
  <c r="R50" i="16"/>
  <c r="O42" i="16"/>
  <c r="F29" i="16"/>
  <c r="E20" i="16"/>
  <c r="M12" i="16"/>
  <c r="F6" i="16"/>
  <c r="D10" i="16"/>
  <c r="D61" i="16"/>
  <c r="E35" i="16"/>
  <c r="O23" i="16"/>
  <c r="I17" i="16"/>
  <c r="G24" i="16"/>
  <c r="O33" i="16"/>
  <c r="R24" i="16"/>
  <c r="N9" i="16"/>
  <c r="K25" i="16"/>
  <c r="K10" i="16"/>
  <c r="R33" i="16"/>
  <c r="L45" i="16"/>
  <c r="G10" i="16"/>
  <c r="M23" i="16"/>
  <c r="O10" i="16"/>
  <c r="Q10" i="16"/>
  <c r="I22" i="16"/>
  <c r="P57" i="16"/>
  <c r="O17" i="16"/>
  <c r="I15" i="16"/>
  <c r="J5" i="16"/>
  <c r="H18" i="16"/>
  <c r="J9" i="16"/>
  <c r="D12" i="16"/>
  <c r="G38" i="16"/>
  <c r="M7" i="16"/>
  <c r="K27" i="16"/>
  <c r="G33" i="16"/>
  <c r="I19" i="16"/>
  <c r="P34" i="16"/>
  <c r="L74" i="16"/>
  <c r="F52" i="16"/>
  <c r="M64" i="16"/>
  <c r="L47" i="16"/>
  <c r="O39" i="16"/>
  <c r="M58" i="16"/>
  <c r="Q38" i="16"/>
  <c r="L68" i="16"/>
  <c r="R68" i="16"/>
  <c r="F56" i="16"/>
  <c r="D75" i="16"/>
  <c r="G62" i="16"/>
  <c r="K50" i="16"/>
  <c r="I53" i="16"/>
  <c r="H36" i="16"/>
  <c r="E58" i="16"/>
  <c r="O69" i="16"/>
  <c r="D58" i="16"/>
  <c r="F44" i="16"/>
  <c r="D63" i="16"/>
  <c r="F49" i="16"/>
  <c r="G59" i="16"/>
  <c r="F38" i="16"/>
  <c r="P61" i="16"/>
  <c r="K40" i="16"/>
  <c r="N72" i="16"/>
  <c r="R60" i="16"/>
  <c r="F48" i="16"/>
  <c r="D67" i="16"/>
  <c r="G54" i="16"/>
  <c r="I69" i="16"/>
  <c r="E41" i="16"/>
  <c r="P69" i="16"/>
  <c r="L63" i="16"/>
  <c r="M34" i="16"/>
  <c r="Q72" i="16"/>
  <c r="F34" i="16"/>
  <c r="L71" i="16"/>
  <c r="Q33" i="16"/>
  <c r="P58" i="16"/>
  <c r="N58" i="16"/>
  <c r="F31" i="16"/>
  <c r="G30" i="16"/>
  <c r="L21" i="16"/>
  <c r="J32" i="16"/>
  <c r="N11" i="16"/>
  <c r="G27" i="16"/>
  <c r="K48" i="16"/>
  <c r="H56" i="16"/>
  <c r="P23" i="16"/>
  <c r="D21" i="16"/>
  <c r="H38" i="16"/>
  <c r="M13" i="16"/>
  <c r="N29" i="16"/>
  <c r="D68" i="16"/>
  <c r="K29" i="16"/>
  <c r="K7" i="16"/>
  <c r="O47" i="16"/>
  <c r="L16" i="16"/>
  <c r="O38" i="16"/>
  <c r="Q44" i="16"/>
  <c r="K59" i="16"/>
  <c r="G34" i="16"/>
  <c r="Q16" i="16"/>
  <c r="P17" i="16"/>
  <c r="K41" i="16"/>
  <c r="M21" i="16"/>
  <c r="H6" i="16"/>
  <c r="O25" i="16"/>
  <c r="N12" i="16"/>
  <c r="M14" i="16"/>
  <c r="K17" i="16"/>
  <c r="G6" i="16"/>
  <c r="L13" i="16"/>
  <c r="I35" i="16"/>
  <c r="O6" i="16"/>
  <c r="K6" i="16"/>
  <c r="H21" i="16"/>
  <c r="J12" i="16"/>
  <c r="H34" i="16"/>
  <c r="L64" i="16"/>
  <c r="J66" i="16"/>
  <c r="D59" i="16"/>
  <c r="N51" i="16"/>
  <c r="Q60" i="16"/>
  <c r="L57" i="16"/>
  <c r="M76" i="16"/>
  <c r="R38" i="16"/>
  <c r="P56" i="16"/>
  <c r="Q20" i="16"/>
  <c r="H48" i="16"/>
  <c r="K23" i="16"/>
  <c r="M62" i="16"/>
  <c r="L17" i="16"/>
  <c r="O32" i="16"/>
  <c r="F47" i="16"/>
  <c r="I16" i="16"/>
  <c r="Q74" i="16"/>
  <c r="J26" i="16"/>
  <c r="D5" i="16"/>
  <c r="O40" i="16"/>
  <c r="K76" i="16"/>
  <c r="J21" i="16"/>
  <c r="I14" i="16"/>
  <c r="K33" i="16"/>
  <c r="E10" i="16"/>
  <c r="L25" i="16"/>
  <c r="P33" i="16"/>
  <c r="I74" i="16"/>
  <c r="J25" i="16"/>
  <c r="K11" i="16"/>
  <c r="D6" i="16"/>
  <c r="G31" i="16"/>
  <c r="O8" i="16"/>
  <c r="H26" i="16"/>
  <c r="G13" i="16"/>
  <c r="I8" i="16"/>
  <c r="M39" i="16"/>
  <c r="P27" i="16"/>
  <c r="G56" i="16"/>
  <c r="E44" i="16"/>
  <c r="Q8" i="16"/>
  <c r="G29" i="16"/>
  <c r="F14" i="16"/>
  <c r="I66" i="16"/>
  <c r="N20" i="16"/>
  <c r="N24" i="16"/>
  <c r="R64" i="16"/>
  <c r="I33" i="16"/>
  <c r="N64" i="16"/>
  <c r="N74" i="16"/>
  <c r="L66" i="16"/>
  <c r="E48" i="16"/>
  <c r="G36" i="16"/>
  <c r="Q64" i="16"/>
  <c r="N67" i="16"/>
  <c r="L52" i="16"/>
  <c r="L15" i="16"/>
  <c r="R75" i="16"/>
  <c r="H20" i="16"/>
  <c r="N47" i="16"/>
  <c r="H10" i="16"/>
  <c r="O28" i="16"/>
  <c r="J37" i="16"/>
  <c r="H15" i="16"/>
  <c r="G46" i="16"/>
  <c r="F22" i="16"/>
  <c r="D69" i="16"/>
  <c r="K36" i="16"/>
  <c r="Q50" i="16"/>
  <c r="G18" i="16"/>
  <c r="K12" i="16"/>
  <c r="H27" i="16"/>
  <c r="R7" i="16"/>
  <c r="Q22" i="16"/>
  <c r="R27" i="16"/>
  <c r="P65" i="16"/>
  <c r="I24" i="16"/>
  <c r="H8" i="16"/>
  <c r="J51" i="16"/>
  <c r="I28" i="16"/>
  <c r="E45" i="16"/>
  <c r="M15" i="16"/>
  <c r="N32" i="16"/>
  <c r="N7" i="16"/>
  <c r="O31" i="16"/>
  <c r="P22" i="16"/>
  <c r="I40" i="16"/>
  <c r="Q28" i="16"/>
  <c r="D31" i="16"/>
  <c r="I23" i="16"/>
  <c r="L5" i="16"/>
  <c r="L53" i="16"/>
  <c r="H14" i="16"/>
  <c r="L26" i="16"/>
  <c r="Q47" i="16"/>
  <c r="I54" i="16"/>
  <c r="P50" i="16"/>
  <c r="I45" i="16"/>
  <c r="O53" i="16"/>
  <c r="L48" i="16"/>
  <c r="M71" i="16"/>
  <c r="E52" i="16"/>
  <c r="N39" i="16"/>
  <c r="R37" i="16"/>
  <c r="N23" i="16"/>
  <c r="R40" i="16"/>
  <c r="Q13" i="16"/>
  <c r="D30" i="16"/>
  <c r="D38" i="16"/>
  <c r="J58" i="16"/>
  <c r="D27" i="16"/>
  <c r="N6" i="16"/>
  <c r="L42" i="16"/>
  <c r="N14" i="16"/>
  <c r="F37" i="16"/>
  <c r="G71" i="16"/>
  <c r="R30" i="16"/>
  <c r="O11" i="16"/>
  <c r="F63" i="16"/>
  <c r="O19" i="16"/>
  <c r="D43" i="16"/>
  <c r="G9" i="16"/>
  <c r="P64" i="16"/>
  <c r="K38" i="16"/>
  <c r="D19" i="16"/>
  <c r="R19" i="16"/>
  <c r="K52" i="16"/>
  <c r="N22" i="16"/>
  <c r="E11" i="16"/>
  <c r="L18" i="16"/>
  <c r="R16" i="16"/>
  <c r="J23" i="16"/>
  <c r="R29" i="16"/>
  <c r="J24" i="16"/>
  <c r="E18" i="16"/>
  <c r="F9" i="16"/>
  <c r="L11" i="16"/>
  <c r="F5" i="16"/>
  <c r="H25" i="16"/>
  <c r="D22" i="16"/>
  <c r="P11" i="16"/>
</calcChain>
</file>

<file path=xl/sharedStrings.xml><?xml version="1.0" encoding="utf-8"?>
<sst xmlns="http://schemas.openxmlformats.org/spreadsheetml/2006/main" count="4764" uniqueCount="700">
  <si>
    <t>Feature Enignerin hilft! Siehe RF</t>
  </si>
  <si>
    <t>RF beste, dann DT, dann DUMMY!</t>
  </si>
  <si>
    <t>Bias in Richtung 0 (sprich: Recall schlecht, da viele False Negatives)</t>
  </si>
  <si>
    <t>https://github.com/feschu/BSc-Thesis-ML/tree/master/Plots</t>
  </si>
  <si>
    <t>Tab Legende</t>
  </si>
  <si>
    <t>Beobachtung</t>
  </si>
  <si>
    <t>Daten</t>
  </si>
  <si>
    <t>Classifier</t>
  </si>
  <si>
    <t>Evaluation</t>
  </si>
  <si>
    <t>Die folgenden Tabs enthalten Ergebnisse aus dem Jupyter Notebook und können in Excel einfach pivotiert etc. werden.</t>
  </si>
  <si>
    <t>Diese Datei gehört zur Bachelorarbeit "Evaluation von Decision Tree und Random Forest Klassifikatoren in der Finanzdomäne"</t>
  </si>
  <si>
    <t>Einleitung</t>
  </si>
  <si>
    <t>Precision</t>
  </si>
  <si>
    <t>Recall</t>
  </si>
  <si>
    <t>F-Maß</t>
  </si>
  <si>
    <t>AAPL</t>
  </si>
  <si>
    <t>1d</t>
  </si>
  <si>
    <t>5d</t>
  </si>
  <si>
    <t>10d</t>
  </si>
  <si>
    <t>20d</t>
  </si>
  <si>
    <t>60d</t>
  </si>
  <si>
    <t>250d</t>
  </si>
  <si>
    <t>TECH GROUP</t>
  </si>
  <si>
    <t>Dummy</t>
  </si>
  <si>
    <t>DT</t>
  </si>
  <si>
    <t>RF</t>
  </si>
  <si>
    <t>TBD</t>
  </si>
  <si>
    <t>AMZN</t>
  </si>
  <si>
    <t>CSCO</t>
  </si>
  <si>
    <t>GE</t>
  </si>
  <si>
    <t>GOOGL</t>
  </si>
  <si>
    <t>HP</t>
  </si>
  <si>
    <t>IBM</t>
  </si>
  <si>
    <t>ITNC</t>
  </si>
  <si>
    <t>MSFT</t>
  </si>
  <si>
    <t>WU</t>
  </si>
  <si>
    <t>XRX</t>
  </si>
  <si>
    <t>Ergebnistabelle</t>
  </si>
  <si>
    <t>Stock Ticker</t>
  </si>
  <si>
    <t>Horizont</t>
  </si>
  <si>
    <t>In dieser Tabelle werden die finalen Aussagen gesammelt und systematisiert (Daten, Classifier, Beobachtung)</t>
  </si>
  <si>
    <t>TBD: Tuning während TSCV, sodass nur current training data (eben pro Epoche) verwendet werdne</t>
  </si>
  <si>
    <t>NB: Tuning selbst findet also pro Epoche statt, hat also in Epoche_i die Daten $chi_0 bis chi_i$ vorhanden.</t>
  </si>
  <si>
    <t>Um die optialen Hyperparameter zu finden, werdne diese Trainigsdaten wiederum mit TSCV optimiet.</t>
  </si>
  <si>
    <t>Die GridSerach versucht alle Kombinationen und wählt jene,  die nach TSCV höchsten Wert bekommt. Kann ausarten da M*N*etc..</t>
  </si>
  <si>
    <t>Das Scoring Methode wirxd entsprechend der Scoring Methode der Klasisifkatoren gewählt, also F1-Maß.</t>
  </si>
  <si>
    <t>Die RandomizedGridSearch hingegen versucht nur eine Teilmenge der Kombinationen.</t>
  </si>
  <si>
    <t>Mit der besten Kombination, also den optimalen hyparparms, eingestellt, wird der DT dann auf den unbekantne instanzen aus $chi_i+1$ getestet.</t>
  </si>
  <si>
    <t>Das Ergebnis ist:</t>
  </si>
  <si>
    <t>[Setting: AAPL, mit Extracteds, horizon_index=0]</t>
  </si>
  <si>
    <t>Klassifikator</t>
  </si>
  <si>
    <t>max_feature</t>
  </si>
  <si>
    <t>max_dept</t>
  </si>
  <si>
    <t>min_samples_pslit</t>
  </si>
  <si>
    <t>min_samples_laef</t>
  </si>
  <si>
    <t>F1 (über alle Epochen)</t>
  </si>
  <si>
    <t>Vanilla DT</t>
  </si>
  <si>
    <t>Tuned DT</t>
  </si>
  <si>
    <t>[Setting: AAPL, mit Extracteds, horizon_index=1]</t>
  </si>
  <si>
    <t>Randomized wählt in dem Fall ungünstig</t>
  </si>
  <si>
    <t>[Setting: AAPL, mit Extracteds, horizon_index=2]</t>
  </si>
  <si>
    <t>[Setting: AAPL, mit Extracteds, horizon_index=3]</t>
  </si>
  <si>
    <t>[Setting: AAPL, mit Extracteds, horizon_index=4]</t>
  </si>
  <si>
    <t>Problem: F1 geht über alle Epcohen, aber die Hyperparetmer gibt es für jede einzelne Epcohe. Average again?</t>
  </si>
  <si>
    <t>Jupyter Ablauf:</t>
  </si>
  <si>
    <t>apply_tscv() erstellt die Train/Test Daten für alle n Epochen</t>
  </si>
  <si>
    <t>get_actual_and_predicted_ys() berechnet in jeder Epoche die Vorhersagendes Klasifkaoren</t>
  </si>
  <si>
    <t>apply_tscv() sammelt ALLE Vorhersagen (act und pred), also über alle n Epochen</t>
  </si>
  <si>
    <t>calculate_confusion_metrics() berechnet anhand ALLER Vorhersagen das F1-Maß für das ganze Datenset</t>
  </si>
  <si>
    <t>Weitere Beobachtung</t>
  </si>
  <si>
    <t>Bei Dummy macht Extracte dvs nicht logrischerweise keien Utnerschied!! Lgeiche Zhal, da nur Distirbution angeschtu</t>
  </si>
  <si>
    <t>Forschungsfrage: Wollen ja Seasonality finden. Hat dann Amazon mit starkem Christmas eine HÖHERE MONTH-IMPORTANCE??</t>
  </si>
  <si>
    <t>https://www.researchgate.net/publication/327298817_Random_forest_as_a_generic_framework_for_predictive_modeling_of_spatial_and_spatio-temporal_variables</t>
  </si>
  <si>
    <t>Idee: Zeigen, dass nur alte Muster erkennen kann aber keine neuen extrapolieren kann (siehe Post ähnlich)</t>
  </si>
  <si>
    <t xml:space="preserve"> --&gt; Deshlab wichtig, dass falls Muster gibt, starke Kurseänderungen dabei sind</t>
  </si>
  <si>
    <t xml:space="preserve">, aber mit Features, die  den Trend der letzen $d$ Tage erfassen, kann das verbessert werde. Man sieht in </t>
  </si>
  <si>
    <t xml:space="preserve"> Abb. TBD, dass DT die Features so geiwchete, dass entsprehcend dem Zeithorizon länger/kürzer sind</t>
  </si>
  <si>
    <t>Der Vorteil von Klassifiaktion für Aktienvorhersage ggü. Regression ist, RF könnte nicht außerhalb der historiaschne</t>
  </si>
  <si>
    <t xml:space="preserve">Werte vorhersage, (BILD ZEIGEN). Bei Klassifkaton kann er sagen, wenn so viel steigung in letzen 10d im VGl zu letzten 30d, </t>
  </si>
  <si>
    <t>, dann "STEIGT" (egal ob der Wert dann nur über dem aktuellen Wert leigt oder sogar über dem historischen Maximum)</t>
  </si>
  <si>
    <t xml:space="preserve">Fazit: Kann man DT Anwenden? Ja, da sie bhesser als Dummy sind. Und ja, da sie einflußreiche Größen entdekcne können, die den </t>
  </si>
  <si>
    <t xml:space="preserve">Aktienkrus beeinflussen. </t>
  </si>
  <si>
    <t>Weitergehnd könnten diese Erkenntisse der wichtisgen Größen dazu dienen, neue Modelle zu erstellne, z.B. Deep Learning.</t>
  </si>
  <si>
    <t>Finale Ergebnisse (Auswertungstabellen, Evaluation, Aussagen)</t>
  </si>
  <si>
    <t>Reproduzierbarkeit</t>
  </si>
  <si>
    <t>Sektion 6 "Reproduction" des Jupyter Notebooks enthält die Skripte, aus denen die Daten generiert wurden.</t>
  </si>
  <si>
    <t>Die nachfolgenden Tabs sind nach der konkreten Jupyter Noteboook Zelle benannt, aus der sie generiert wurden, z.B. Zelle 6.3</t>
  </si>
  <si>
    <t>Die Daten in dieser Datei stammen aus dem Jupyter Notebook auf GitHub und können dort reproduziert werden:</t>
  </si>
  <si>
    <t>https://github.com/feschu/BSc-Thesis-ML/blob/master/Evaluation%20of%20DT%20and%20RF%20Classifiers%20in%20the%20Financial%20Domain.ipynb</t>
  </si>
  <si>
    <t>Sämtliche Plots (Confusion Matrixes, Feature Importances, …) liegen auf folgendem GitHub Repository:</t>
  </si>
  <si>
    <t>Quelle: Jupyter Notebook, Zelle 6.3 (Stand: 02.11.2019)</t>
  </si>
  <si>
    <t>announce_eval_settings() -&gt; g_classifier=Dummy with type=&lt;class 'sklearn.dummy.DummyClassifier'&gt;</t>
  </si>
  <si>
    <t>announce_eval_settings() -&gt; g_plot_folder=Confusion-Matrices-Dummy</t>
  </si>
  <si>
    <t>announce_eval_settings() -&gt; use_feature_extraction=False, use_tuning=False</t>
  </si>
  <si>
    <t>announce_eval_settings() -&gt; evaluation_datasets=['Datasets/Kaggle_SnP500_AAPL_2013-2018.csv', 'Datasets/Kaggle_SnP500_AMZN_2013-2018.csv', 'Datasets/Kaggle_SnP500_CSCO_2013-2018.csv', 'Datasets/Kaggle_SnP500_GE_2013-2018.csv', 'Datasets/Kaggle_SnP500_GOOGL_2013-2018.csv', 'Datasets/Kaggle_SnP500_HP_2013-2018.csv', 'Datasets/Kaggle_SnP500_IBM_2013-2018.csv', 'Datasets/Kaggle_SnP500_INTC_2013-2018.csv', 'Datasets/Kaggle_SnP500_MSFT_2013-2018.csv', 'Datasets/Kaggle_SnP500_WU_2013-2018.csv', 'Datasets/Kaggle_SnP500_XRX_2013-2018.csv'], with evaluation_horizons_indices=[0, 1, 2, 3, 4, 5]</t>
  </si>
  <si>
    <t>announce_eval_settings() -&gt; SAVE_FIG=False, VERBOSE=False</t>
  </si>
  <si>
    <t>get_tscv_results() -&gt; Stock=Datasets/Kaggle_SnP500_AAPL_2013-2018.csv</t>
  </si>
  <si>
    <t>get_tscv_results() -&gt; Stock=Datasets/Kaggle_SnP500_AMZN_2013-2018.csv</t>
  </si>
  <si>
    <t>get_tscv_results() -&gt; Stock=Datasets/Kaggle_SnP500_CSCO_2013-2018.csv</t>
  </si>
  <si>
    <t>get_tscv_results() -&gt; Stock=Datasets/Kaggle_SnP500_GE_2013-2018.csv</t>
  </si>
  <si>
    <t>get_tscv_results() -&gt; Stock=Datasets/Kaggle_SnP500_GOOGL_2013-2018.csv</t>
  </si>
  <si>
    <t>get_tscv_results() -&gt; Stock=Datasets/Kaggle_SnP500_HP_2013-2018.csv</t>
  </si>
  <si>
    <t>get_tscv_results() -&gt; Stock=Datasets/Kaggle_SnP500_IBM_2013-2018.csv</t>
  </si>
  <si>
    <t>get_tscv_results() -&gt; Stock=Datasets/Kaggle_SnP500_INTC_2013-2018.csv</t>
  </si>
  <si>
    <t>get_tscv_results() -&gt; Stock=Datasets/Kaggle_SnP500_MSFT_2013-2018.csv</t>
  </si>
  <si>
    <t>get_tscv_results() -&gt; Stock=Datasets/Kaggle_SnP500_WU_2013-2018.csv</t>
  </si>
  <si>
    <t>get_tscv_results() -&gt; Stock=Datasets/Kaggle_SnP500_XRX_2013-2018.csv</t>
  </si>
  <si>
    <t>get_tscv_confusion_metrics() -&gt; Stock=Tech Group Average</t>
  </si>
  <si>
    <t>get_tscv_confusion_metrics() -&gt; Result on stock=AAPL, horizon= 0 is precision=0.5088852988691438, recall=0.5366269165247018, f_measure=0.5223880597014926</t>
  </si>
  <si>
    <t>get_tscv_confusion_metrics() -&gt; Result on stock=AAPL, horizon= 1 is precision=0.5406626506024096, recall=0.5653543307086614, f_measure=0.5527328714395688</t>
  </si>
  <si>
    <t>get_tscv_confusion_metrics() -&gt; Result on stock=AAPL, horizon= 2 is precision=0.583206106870229, recall=0.583206106870229, f_measure=0.583206106870229</t>
  </si>
  <si>
    <t>get_tscv_confusion_metrics() -&gt; Result on stock=AAPL, horizon= 3 is precision=0.6121883656509696, recall=0.6359712230215827, f_measure=0.6238532110091743</t>
  </si>
  <si>
    <t>get_tscv_confusion_metrics() -&gt; Result on stock=AAPL, horizon= 4 is precision=0.6926658905704307, recall=0.7446808510638298, f_measure=0.7177322074788902</t>
  </si>
  <si>
    <t>get_tscv_confusion_metrics() -&gt; Result on stock=AAPL, horizon= 5 is precision=0.6012461059190031, recall=0.8799392097264438, f_measure=0.7143738433066008</t>
  </si>
  <si>
    <t>get_tscv_confusion_metrics() -&gt; Result on stock=AMZN, horizon= 0 is precision=0.5205479452054794, recall=0.5588235294117647, f_measure=0.5390070921985816</t>
  </si>
  <si>
    <t>get_tscv_confusion_metrics() -&gt; Result on stock=AMZN, horizon= 1 is precision=0.5475841874084919, recall=0.5582089552238806, f_measure=0.5528455284552846</t>
  </si>
  <si>
    <t>get_tscv_confusion_metrics() -&gt; Result on stock=AMZN, horizon= 2 is precision=0.605890603085554, recall=0.62882096069869, f_measure=0.6171428571428571</t>
  </si>
  <si>
    <t>get_tscv_confusion_metrics() -&gt; Result on stock=AMZN, horizon= 3 is precision=0.6595460614152203, recall=0.6577896138482024, f_measure=0.6586666666666666</t>
  </si>
  <si>
    <t>get_tscv_confusion_metrics() -&gt; Result on stock=AMZN, horizon= 4 is precision=0.6630303030303031, recall=0.7332439678284183, f_measure=0.6963717377466583</t>
  </si>
  <si>
    <t>get_tscv_confusion_metrics() -&gt; Result on stock=AMZN, horizon= 5 is precision=0.7042682926829268, recall=0.8619402985074627, f_measure=0.7751677852348993</t>
  </si>
  <si>
    <t>get_tscv_confusion_metrics() -&gt; Result on stock=CSCO, horizon= 0 is precision=0.5291902071563088, recall=0.4811643835616438, f_measure=0.5040358744394619</t>
  </si>
  <si>
    <t>get_tscv_confusion_metrics() -&gt; Result on stock=CSCO, horizon= 1 is precision=0.5741556534508077, recall=0.6138147566718996, f_measure=0.5933232169954477</t>
  </si>
  <si>
    <t>get_tscv_confusion_metrics() -&gt; Result on stock=CSCO, horizon= 2 is precision=0.5652173913043478, recall=0.6022364217252396, f_measure=0.5831399845320959</t>
  </si>
  <si>
    <t>get_tscv_confusion_metrics() -&gt; Result on stock=CSCO, horizon= 3 is precision=0.5505780346820809, recall=0.6028481012658228, f_measure=0.5755287009063443</t>
  </si>
  <si>
    <t>get_tscv_confusion_metrics() -&gt; Result on stock=CSCO, horizon= 4 is precision=0.5968586387434555, recall=0.6542324246771879, f_measure=0.624229979466119</t>
  </si>
  <si>
    <t>get_tscv_confusion_metrics() -&gt; Result on stock=CSCO, horizon= 5 is precision=0.6670157068062827, recall=0.8504672897196262, f_measure=0.7476525821596244</t>
  </si>
  <si>
    <t>get_tscv_confusion_metrics() -&gt; Result on stock=GE, horizon= 0 is precision=0.45614035087719296, recall=0.5238095238095238, f_measure=0.4876385336743393</t>
  </si>
  <si>
    <t>get_tscv_confusion_metrics() -&gt; Result on stock=GE, horizon= 1 is precision=0.4878472222222222, recall=0.5291902071563088, f_measure=0.5076784101174345</t>
  </si>
  <si>
    <t>get_tscv_confusion_metrics() -&gt; Result on stock=GE, horizon= 2 is precision=0.4377952755905512, recall=0.5419103313840156, f_measure=0.48432055749128916</t>
  </si>
  <si>
    <t>get_tscv_confusion_metrics() -&gt; Result on stock=GE, horizon= 3 is precision=0.4561933534743202, recall=0.593320235756385, f_measure=0.515798462852263</t>
  </si>
  <si>
    <t>get_tscv_confusion_metrics() -&gt; Result on stock=GE, horizon= 4 is precision=0.42209631728045327, recall=0.654945054945055, f_measure=0.5133505598621878</t>
  </si>
  <si>
    <t>get_tscv_confusion_metrics() -&gt; Result on stock=GE, horizon= 5 is precision=0.44471153846153844, recall=0.7724425887265136, f_measure=0.5644546147978643</t>
  </si>
  <si>
    <t>get_tscv_confusion_metrics() -&gt; Result on stock=GOOGL, horizon= 0 is precision=0.5064102564102564, recall=0.5302013422818792, f_measure=0.5180327868852459</t>
  </si>
  <si>
    <t>get_tscv_confusion_metrics() -&gt; Result on stock=GOOGL, horizon= 1 is precision=0.5427728613569321, recall=0.5777080062794349, f_measure=0.5596958174904944</t>
  </si>
  <si>
    <t>get_tscv_confusion_metrics() -&gt; Result on stock=GOOGL, horizon= 2 is precision=0.579172610556348, recall=0.6179604261796042, f_measure=0.5979381443298969</t>
  </si>
  <si>
    <t>get_tscv_confusion_metrics() -&gt; Result on stock=GOOGL, horizon= 3 is precision=0.599721059972106, recall=0.625, f_measure=0.6120996441281139</t>
  </si>
  <si>
    <t>get_tscv_confusion_metrics() -&gt; Result on stock=GOOGL, horizon= 4 is precision=0.6439024390243903, recall=0.7252747252747253, f_measure=0.6821705426356589</t>
  </si>
  <si>
    <t>get_tscv_confusion_metrics() -&gt; Result on stock=GOOGL, horizon= 5 is precision=0.6670146137787056, recall=0.8407894736842105, f_measure=0.7438882421420256</t>
  </si>
  <si>
    <t>get_tscv_confusion_metrics() -&gt; Result on stock=HP, horizon= 0 is precision=0.4881516587677725, recall=0.544973544973545, f_measure=0.515</t>
  </si>
  <si>
    <t>get_tscv_confusion_metrics() -&gt; Result on stock=HP, horizon= 1 is precision=0.49453978159126366, recall=0.5522648083623694, f_measure=0.5218106995884775</t>
  </si>
  <si>
    <t>get_tscv_confusion_metrics() -&gt; Result on stock=HP, horizon= 2 is precision=0.49556213017751477, recall=0.576592082616179, f_measure=0.5330151153540175</t>
  </si>
  <si>
    <t>get_tscv_confusion_metrics() -&gt; Result on stock=HP, horizon= 3 is precision=0.49850746268656715, recall=0.5828970331588132, f_measure=0.5374094931617056</t>
  </si>
  <si>
    <t>get_tscv_confusion_metrics() -&gt; Result on stock=HP, horizon= 4 is precision=0.5142857142857142, recall=0.6910994764397905, f_measure=0.5897244973938942</t>
  </si>
  <si>
    <t>get_tscv_confusion_metrics() -&gt; Result on stock=HP, horizon= 5 is precision=0.28034188034188035, recall=0.543046357615894, f_measure=0.36978579481397966</t>
  </si>
  <si>
    <t>get_tscv_confusion_metrics() -&gt; Result on stock=IBM, horizon= 0 is precision=0.5182481751824818, recall=0.5017667844522968, f_measure=0.5098743267504489</t>
  </si>
  <si>
    <t>get_tscv_confusion_metrics() -&gt; Result on stock=IBM, horizon= 1 is precision=0.4664429530201342, recall=0.5, f_measure=0.4826388888888889</t>
  </si>
  <si>
    <t>get_tscv_confusion_metrics() -&gt; Result on stock=IBM, horizon= 2 is precision=0.48068669527896996, recall=0.4155844155844156, f_measure=0.4457711442786069</t>
  </si>
  <si>
    <t>get_tscv_confusion_metrics() -&gt; Result on stock=IBM, horizon= 3 is precision=0.4593967517401392, recall=0.3742911153119093, f_measure=0.4125000000000001</t>
  </si>
  <si>
    <t>get_tscv_confusion_metrics() -&gt; Result on stock=IBM, horizon= 4 is precision=0.4696969696969697, recall=0.3425414364640884, f_measure=0.39616613418530355</t>
  </si>
  <si>
    <t>get_tscv_confusion_metrics() -&gt; Result on stock=IBM, horizon= 5 is precision=0.1881720430107527, recall=0.12589928057553956, f_measure=0.15086206896551724</t>
  </si>
  <si>
    <t>get_tscv_confusion_metrics() -&gt; Result on stock=INTC, horizon= 0 is precision=0.5015243902439024, recall=0.5501672240802675, f_measure=0.5247208931419457</t>
  </si>
  <si>
    <t>get_tscv_confusion_metrics() -&gt; Result on stock=INTC, horizon= 1 is precision=0.5233236151603499, recall=0.5799676898222941, f_measure=0.550191570881226</t>
  </si>
  <si>
    <t>get_tscv_confusion_metrics() -&gt; Result on stock=INTC, horizon= 2 is precision=0.5481481481481482, recall=0.583596214511041, f_measure=0.5653170359052712</t>
  </si>
  <si>
    <t>get_tscv_confusion_metrics() -&gt; Result on stock=INTC, horizon= 3 is precision=0.565880721220527, recall=0.6248085758039816, f_measure=0.593886462882096</t>
  </si>
  <si>
    <t>get_tscv_confusion_metrics() -&gt; Result on stock=INTC, horizon= 4 is precision=0.5760309278350515, recall=0.6691616766467066, f_measure=0.6191135734072022</t>
  </si>
  <si>
    <t>get_tscv_confusion_metrics() -&gt; Result on stock=INTC, horizon= 5 is precision=0.5879828326180258, recall=0.8430769230769231, f_measure=0.6927939317319849</t>
  </si>
  <si>
    <t>get_tscv_confusion_metrics() -&gt; Result on stock=MSFT, horizon= 0 is precision=0.49921996879875197, recall=0.5460750853242321, f_measure=0.5215973920130399</t>
  </si>
  <si>
    <t>get_tscv_confusion_metrics() -&gt; Result on stock=MSFT, horizon= 1 is precision=0.5790960451977402, recall=0.6174698795180723, f_measure=0.597667638483965</t>
  </si>
  <si>
    <t>get_tscv_confusion_metrics() -&gt; Result on stock=MSFT, horizon= 2 is precision=0.5981554677206851, recall=0.6570188133140377, f_measure=0.626206896551724</t>
  </si>
  <si>
    <t>get_tscv_confusion_metrics() -&gt; Result on stock=MSFT, horizon= 3 is precision=0.6467532467532467, recall=0.6604774535809018, f_measure=0.6535433070866142</t>
  </si>
  <si>
    <t>get_tscv_confusion_metrics() -&gt; Result on stock=MSFT, horizon= 4 is precision=0.7408759124087592, recall=0.7173144876325088, f_measure=0.7289048473967684</t>
  </si>
  <si>
    <t>get_tscv_confusion_metrics() -&gt; Result on stock=MSFT, horizon= 5 is precision=0.7585568917668826, recall=0.9669811320754716, f_measure=0.8501814411612235</t>
  </si>
  <si>
    <t>get_tscv_confusion_metrics() -&gt; Result on stock=WU, horizon= 0 is precision=0.48919753086419754, recall=0.5610619469026549, f_measure=0.5226710634789777</t>
  </si>
  <si>
    <t>get_tscv_confusion_metrics() -&gt; Result on stock=WU, horizon= 1 is precision=0.5311143270622286, recall=0.6147403685092128, f_measure=0.5698757763975155</t>
  </si>
  <si>
    <t>get_tscv_confusion_metrics() -&gt; Result on stock=WU, horizon= 2 is precision=0.5171919770773639, recall=0.6192109777015438, f_measure=0.5636221701795472</t>
  </si>
  <si>
    <t>get_tscv_confusion_metrics() -&gt; Result on stock=WU, horizon= 3 is precision=0.497289972899729, recall=0.650709219858156, f_measure=0.5637480798771122</t>
  </si>
  <si>
    <t>get_tscv_confusion_metrics() -&gt; Result on stock=WU, horizon= 4 is precision=0.4484605087014726, recall=0.6180811808118081, f_measure=0.5197827773467805</t>
  </si>
  <si>
    <t>get_tscv_confusion_metrics() -&gt; Result on stock=WU, horizon= 5 is precision=0.461038961038961, recall=0.6866537717601547, f_measure=0.5516705516705517</t>
  </si>
  <si>
    <t>get_tscv_confusion_metrics() -&gt; Result on stock=XRX, horizon= 0 is precision=0.4969418960244648, recall=0.5721830985915493, f_measure=0.5319148936170213</t>
  </si>
  <si>
    <t>get_tscv_confusion_metrics() -&gt; Result on stock=XRX, horizon= 1 is precision=0.5279329608938548, recall=0.6166394779771615, f_measure=0.5688487584650114</t>
  </si>
  <si>
    <t>get_tscv_confusion_metrics() -&gt; Result on stock=XRX, horizon= 2 is precision=0.5365853658536586, recall=0.6556291390728477, f_measure=0.5901639344262295</t>
  </si>
  <si>
    <t>get_tscv_confusion_metrics() -&gt; Result on stock=XRX, horizon= 3 is precision=0.5389447236180904, recall=0.6998368678629691, f_measure=0.6089425124201561</t>
  </si>
  <si>
    <t>get_tscv_confusion_metrics() -&gt; Result on stock=XRX, horizon= 4 is precision=0.45376078914919854, recall=0.75564681724846, f_measure=0.5670261941448382</t>
  </si>
  <si>
    <t>get_tscv_confusion_metrics() -&gt; Result on stock=XRX, horizon= 5 is precision=0.30559757942511345, recall=0.8938053097345132, f_measure=0.4554678692220969</t>
  </si>
  <si>
    <t>get_tscv_confusion_metrics() -&gt; Result on stock=Tech-Group-AVG, horizon= 0 is precision=0.5007312079555426, recall=0.5370980392156863, f_measure=0.5182774540225537</t>
  </si>
  <si>
    <t>get_tscv_confusion_metrics() -&gt; Result on stock=Tech-Group-AVG, horizon= 1 is precision=0.530327868852459, recall=0.5765631961978316, f_measure=0.5524798975307763</t>
  </si>
  <si>
    <t>get_tscv_confusion_metrics() -&gt; Result on stock=Tech-Group-AVG, horizon= 2 is precision=0.5438168766084247, recall=0.5930576070901034, f_measure=0.5673708754327704</t>
  </si>
  <si>
    <t>get_tscv_confusion_metrics() -&gt; Result on stock=Tech-Group-AVG, horizon= 3 is precision=0.5585550339071466, recall=0.6152851601781353, f_measure=0.5855492514867728</t>
  </si>
  <si>
    <t>get_tscv_confusion_metrics() -&gt; Result on stock=Tech-Group-AVG, horizon= 4 is precision=0.5743731918997107, recall=0.6723578382954706, f_measure=0.6195150490801534</t>
  </si>
  <si>
    <t>get_tscv_confusion_metrics() -&gt; Result on stock=Tech-Group-AVG, horizon= 5 is precision=0.5660716290557988, recall=0.8040184978472333, f_measure=0.6643826591118724</t>
  </si>
  <si>
    <t>announce_eval_settings() -&gt; g_classifier=DT with type=&lt;class 'sklearn.tree.tree.DecisionTreeClassifier'&gt;</t>
  </si>
  <si>
    <t>announce_eval_settings() -&gt; g_plot_folder=Confusion-Matrices-DT</t>
  </si>
  <si>
    <t>get_tscv_confusion_metrics() -&gt; Result on stock=AAPL, horizon= 0 is precision=0.5178082191780822, recall=0.3219761499148211, f_measure=0.39705882352941174</t>
  </si>
  <si>
    <t>get_tscv_confusion_metrics() -&gt; Result on stock=AAPL, horizon= 1 is precision=0.5327868852459017, recall=0.30708661417322836, f_measure=0.38961038961038963</t>
  </si>
  <si>
    <t>get_tscv_confusion_metrics() -&gt; Result on stock=AAPL, horizon= 2 is precision=0.6012024048096193, recall=0.4580152671755725, f_measure=0.5199306759098786</t>
  </si>
  <si>
    <t>get_tscv_confusion_metrics() -&gt; Result on stock=AAPL, horizon= 3 is precision=0.6756238003838771, recall=0.5064748201438849, f_measure=0.5789473684210527</t>
  </si>
  <si>
    <t>get_tscv_confusion_metrics() -&gt; Result on stock=AAPL, horizon= 4 is precision=0.6776504297994269, recall=0.5919899874843555, f_measure=0.6319305277221109</t>
  </si>
  <si>
    <t>get_tscv_confusion_metrics() -&gt; Result on stock=AAPL, horizon= 5 is precision=0.8669724770642202, recall=0.8617021276595744, f_measure=0.8643292682926829</t>
  </si>
  <si>
    <t>get_tscv_confusion_metrics() -&gt; Result on stock=AMZN, horizon= 0 is precision=0.5165094339622641, recall=0.35784313725490197, f_measure=0.4227799227799228</t>
  </si>
  <si>
    <t>get_tscv_confusion_metrics() -&gt; Result on stock=AMZN, horizon= 1 is precision=0.5578947368421052, recall=0.2373134328358209, f_measure=0.3329842931937173</t>
  </si>
  <si>
    <t>get_tscv_confusion_metrics() -&gt; Result on stock=AMZN, horizon= 2 is precision=0.5710594315245479, recall=0.32168850072780203, f_measure=0.4115456238361266</t>
  </si>
  <si>
    <t>get_tscv_confusion_metrics() -&gt; Result on stock=AMZN, horizon= 3 is precision=0.641566265060241, recall=0.2836218375499334, f_measure=0.3933518005540166</t>
  </si>
  <si>
    <t>get_tscv_confusion_metrics() -&gt; Result on stock=AMZN, horizon= 4 is precision=0.6135458167330677, recall=0.4128686327077748, f_measure=0.4935897435897436</t>
  </si>
  <si>
    <t>get_tscv_confusion_metrics() -&gt; Result on stock=AMZN, horizon= 5 is precision=0.7577807848443843, recall=0.6965174129353234, f_measure=0.7258587167854827</t>
  </si>
  <si>
    <t>get_tscv_confusion_metrics() -&gt; Result on stock=CSCO, horizon= 0 is precision=0.4943639291465378, recall=0.5256849315068494, f_measure=0.5095435684647303</t>
  </si>
  <si>
    <t>get_tscv_confusion_metrics() -&gt; Result on stock=CSCO, horizon= 1 is precision=0.5507246376811594, recall=0.3579277864992151, f_measure=0.43387250237868696</t>
  </si>
  <si>
    <t>get_tscv_confusion_metrics() -&gt; Result on stock=CSCO, horizon= 2 is precision=0.5382882882882883, recall=0.3817891373801917, f_measure=0.4467289719626169</t>
  </si>
  <si>
    <t>get_tscv_confusion_metrics() -&gt; Result on stock=CSCO, horizon= 3 is precision=0.5514018691588785, recall=0.37341772151898733, f_measure=0.44528301886792454</t>
  </si>
  <si>
    <t>get_tscv_confusion_metrics() -&gt; Result on stock=CSCO, horizon= 4 is precision=0.6876456876456877, recall=0.4232424677187948, f_measure=0.5239786856127886</t>
  </si>
  <si>
    <t>get_tscv_confusion_metrics() -&gt; Result on stock=CSCO, horizon= 5 is precision=0.8886827458256029, recall=0.6395193591455274, f_measure=0.7437888198757764</t>
  </si>
  <si>
    <t>get_tscv_confusion_metrics() -&gt; Result on stock=GE, horizon= 0 is precision=0.49633699633699635, recall=0.49633699633699635, f_measure=0.49633699633699635</t>
  </si>
  <si>
    <t>get_tscv_confusion_metrics() -&gt; Result on stock=GE, horizon= 1 is precision=0.4653284671532847, recall=0.480225988700565, f_measure=0.4726598702502317</t>
  </si>
  <si>
    <t>get_tscv_confusion_metrics() -&gt; Result on stock=GE, horizon= 2 is precision=0.4323040380047506, recall=0.35477582846003897, f_measure=0.3897216274089936</t>
  </si>
  <si>
    <t>get_tscv_confusion_metrics() -&gt; Result on stock=GE, horizon= 3 is precision=0.4369747899159664, recall=0.4086444007858546, f_measure=0.42233502538071066</t>
  </si>
  <si>
    <t>get_tscv_confusion_metrics() -&gt; Result on stock=GE, horizon= 4 is precision=0.4033457249070632, recall=0.47692307692307695, f_measure=0.4370594159113797</t>
  </si>
  <si>
    <t>get_tscv_confusion_metrics() -&gt; Result on stock=GE, horizon= 5 is precision=0.41368584758942456, recall=0.5553235908141962, f_measure=0.4741532976827094</t>
  </si>
  <si>
    <t>get_tscv_confusion_metrics() -&gt; Result on stock=GOOGL, horizon= 0 is precision=0.5480225988700564, recall=0.48825503355704697, f_measure=0.5164152617568766</t>
  </si>
  <si>
    <t>get_tscv_confusion_metrics() -&gt; Result on stock=GOOGL, horizon= 1 is precision=0.5315161839863713, recall=0.4897959183673469, f_measure=0.5098039215686274</t>
  </si>
  <si>
    <t>get_tscv_confusion_metrics() -&gt; Result on stock=GOOGL, horizon= 2 is precision=0.5555555555555556, recall=0.4946727549467275, f_measure=0.5233494363929146</t>
  </si>
  <si>
    <t>get_tscv_confusion_metrics() -&gt; Result on stock=GOOGL, horizon= 3 is precision=0.5551020408163265, recall=0.3953488372093023, f_measure=0.4617996604414261</t>
  </si>
  <si>
    <t>get_tscv_confusion_metrics() -&gt; Result on stock=GOOGL, horizon= 4 is precision=0.8018575851393189, recall=0.3557692307692308, f_measure=0.49286393910561377</t>
  </si>
  <si>
    <t>get_tscv_confusion_metrics() -&gt; Result on stock=GOOGL, horizon= 5 is precision=0.8745247148288974, recall=0.6052631578947368, f_measure=0.7153965785381026</t>
  </si>
  <si>
    <t>get_tscv_confusion_metrics() -&gt; Result on stock=HP, horizon= 0 is precision=0.49596122778675283, recall=0.5414462081128748, f_measure=0.5177065767284992</t>
  </si>
  <si>
    <t>get_tscv_confusion_metrics() -&gt; Result on stock=HP, horizon= 1 is precision=0.5067264573991032, recall=0.5905923344947736, f_measure=0.5454545454545455</t>
  </si>
  <si>
    <t>get_tscv_confusion_metrics() -&gt; Result on stock=HP, horizon= 2 is precision=0.5014577259475219, recall=0.5920826161790017, f_measure=0.5430149960536701</t>
  </si>
  <si>
    <t>get_tscv_confusion_metrics() -&gt; Result on stock=HP, horizon= 3 is precision=0.4765217391304348, recall=0.4781849912739965, f_measure=0.47735191637630664</t>
  </si>
  <si>
    <t>get_tscv_confusion_metrics() -&gt; Result on stock=HP, horizon= 4 is precision=0.5485714285714286, recall=0.6701570680628273, f_measure=0.6032992930086409</t>
  </si>
  <si>
    <t>get_tscv_confusion_metrics() -&gt; Result on stock=HP, horizon= 5 is precision=0.33435114503816793, recall=0.7251655629139073, f_measure=0.45768025078369906</t>
  </si>
  <si>
    <t>get_tscv_confusion_metrics() -&gt; Result on stock=IBM, horizon= 0 is precision=0.48826291079812206, recall=0.5512367491166078, f_measure=0.5178423236514522</t>
  </si>
  <si>
    <t>get_tscv_confusion_metrics() -&gt; Result on stock=IBM, horizon= 1 is precision=0.5048678720445062, recall=0.6528776978417267, f_measure=0.5694117647058824</t>
  </si>
  <si>
    <t>get_tscv_confusion_metrics() -&gt; Result on stock=IBM, horizon= 2 is precision=0.4554744525547445, recall=0.5788497217068646, f_measure=0.5098039215686275</t>
  </si>
  <si>
    <t>get_tscv_confusion_metrics() -&gt; Result on stock=IBM, horizon= 3 is precision=0.48024316109422494, recall=0.5973534971644613, f_measure=0.5324347093513058</t>
  </si>
  <si>
    <t>get_tscv_confusion_metrics() -&gt; Result on stock=IBM, horizon= 4 is precision=0.476775956284153, recall=0.6427255985267035, f_measure=0.5474509803921569</t>
  </si>
  <si>
    <t>get_tscv_confusion_metrics() -&gt; Result on stock=IBM, horizon= 5 is precision=0.39029126213592236, recall=0.7230215827338129, f_measure=0.5069356872635562</t>
  </si>
  <si>
    <t>get_tscv_confusion_metrics() -&gt; Result on stock=INTC, horizon= 0 is precision=0.546617915904936, recall=0.5, f_measure=0.5222707423580786</t>
  </si>
  <si>
    <t>get_tscv_confusion_metrics() -&gt; Result on stock=INTC, horizon= 1 is precision=0.591869918699187, recall=0.5880452342487884, f_measure=0.5899513776337115</t>
  </si>
  <si>
    <t>get_tscv_confusion_metrics() -&gt; Result on stock=INTC, horizon= 2 is precision=0.5860927152317881, recall=0.5583596214511041, f_measure=0.5718901453957997</t>
  </si>
  <si>
    <t>get_tscv_confusion_metrics() -&gt; Result on stock=INTC, horizon= 3 is precision=0.6090712742980562, recall=0.4318529862174579, f_measure=0.5053763440860215</t>
  </si>
  <si>
    <t>get_tscv_confusion_metrics() -&gt; Result on stock=INTC, horizon= 4 is precision=0.6256880733944954, recall=0.5104790419161677, f_measure=0.5622423742786479</t>
  </si>
  <si>
    <t>get_tscv_confusion_metrics() -&gt; Result on stock=INTC, horizon= 5 is precision=0.668918918918919, recall=0.7615384615384615, f_measure=0.7122302158273381</t>
  </si>
  <si>
    <t>get_tscv_confusion_metrics() -&gt; Result on stock=MSFT, horizon= 0 is precision=0.5347985347985348, recall=0.24914675767918087, f_measure=0.339930151338766</t>
  </si>
  <si>
    <t>get_tscv_confusion_metrics() -&gt; Result on stock=MSFT, horizon= 1 is precision=0.562874251497006, recall=0.28313253012048195, f_measure=0.3767535070140281</t>
  </si>
  <si>
    <t>get_tscv_confusion_metrics() -&gt; Result on stock=MSFT, horizon= 2 is precision=0.6789297658862876, recall=0.2937771345875543, f_measure=0.41010101010101013</t>
  </si>
  <si>
    <t>get_tscv_confusion_metrics() -&gt; Result on stock=MSFT, horizon= 3 is precision=0.790633608815427, recall=0.3806366047745358, f_measure=0.5138764547896151</t>
  </si>
  <si>
    <t>get_tscv_confusion_metrics() -&gt; Result on stock=MSFT, horizon= 4 is precision=0.7207890743550834, recall=0.5594817432273262, f_measure=0.629973474801061</t>
  </si>
  <si>
    <t>get_tscv_confusion_metrics() -&gt; Result on stock=MSFT, horizon= 5 is precision=0.9108796296296297, recall=0.9280660377358491, f_measure=0.919392523364486</t>
  </si>
  <si>
    <t>get_tscv_confusion_metrics() -&gt; Result on stock=WU, horizon= 0 is precision=0.5272727272727272, recall=0.46194690265486726, f_measure=0.4924528301886792</t>
  </si>
  <si>
    <t>get_tscv_confusion_metrics() -&gt; Result on stock=WU, horizon= 1 is precision=0.5493273542600897, recall=0.4103852596314908, f_measure=0.4697986577181208</t>
  </si>
  <si>
    <t>get_tscv_confusion_metrics() -&gt; Result on stock=WU, horizon= 2 is precision=0.5419222903885481, recall=0.45454545454545453, f_measure=0.4944029850746268</t>
  </si>
  <si>
    <t>get_tscv_confusion_metrics() -&gt; Result on stock=WU, horizon= 3 is precision=0.4752851711026616, recall=0.4432624113475177, f_measure=0.4587155963302752</t>
  </si>
  <si>
    <t>get_tscv_confusion_metrics() -&gt; Result on stock=WU, horizon= 4 is precision=0.4252252252252252, recall=0.4354243542435424, f_measure=0.43026435733819507</t>
  </si>
  <si>
    <t>get_tscv_confusion_metrics() -&gt; Result on stock=WU, horizon= 5 is precision=0.43795620437956206, recall=0.5802707930367504, f_measure=0.4991680532445923</t>
  </si>
  <si>
    <t>get_tscv_confusion_metrics() -&gt; Result on stock=XRX, horizon= 0 is precision=0.4803738317757009, recall=0.4524647887323944, f_measure=0.46600181323662737</t>
  </si>
  <si>
    <t>get_tscv_confusion_metrics() -&gt; Result on stock=XRX, horizon= 1 is precision=0.5065176908752328, recall=0.4437194127243067, f_measure=0.47304347826086957</t>
  </si>
  <si>
    <t>get_tscv_confusion_metrics() -&gt; Result on stock=XRX, horizon= 2 is precision=0.524904214559387, recall=0.45364238410596025, f_measure=0.48667850799289514</t>
  </si>
  <si>
    <t>get_tscv_confusion_metrics() -&gt; Result on stock=XRX, horizon= 3 is precision=0.5184615384615384, recall=0.5497553017944535, f_measure=0.5336500395882818</t>
  </si>
  <si>
    <t>get_tscv_confusion_metrics() -&gt; Result on stock=XRX, horizon= 4 is precision=0.43243243243243246, recall=0.4928131416837782, f_measure=0.4606525911708253</t>
  </si>
  <si>
    <t>get_tscv_confusion_metrics() -&gt; Result on stock=XRX, horizon= 5 is precision=0.27427184466019416, recall=1.0, f_measure=0.43047619047619046</t>
  </si>
  <si>
    <t>get_tscv_confusion_metrics() -&gt; Result on stock=Tech-Group-AVG, horizon=0 is precision=0.5109919571045577, recall=0.4484705882352941, f_measure=0.4776942355889725</t>
  </si>
  <si>
    <t>get_tscv_confusion_metrics() -&gt; Result on stock=Tech-Group-AVG, horizon=1 is precision=0.5289855072463768, recall=0.4336848358829645, f_measure=0.4766179711091162</t>
  </si>
  <si>
    <t>get_tscv_confusion_metrics() -&gt; Result on stock=Tech-Group-AVG, horizon=2 is precision=0.537093043942359, recall=0.44593796159527327, f_measure=0.48728916148817686</t>
  </si>
  <si>
    <t>get_tscv_confusion_metrics() -&gt; Result on stock=Tech-Group-AVG, horizon=3 is precision=0.5521707406056184, recall=0.4348513144663123, f_measure=0.48653861608936755</t>
  </si>
  <si>
    <t>get_tscv_confusion_metrics() -&gt; Result on stock=Tech-Group-AVG, horizon=4 is precision=0.5736048749198204, recall=0.5047269648652463, f_measure=0.536966148765293</t>
  </si>
  <si>
    <t>get_tscv_confusion_metrics() -&gt; Result on stock=Tech-Group-AVG, horizon=5 is precision=0.6175514626218852, recall=0.7271567533088822, f_measure=0.6678872207982425</t>
  </si>
  <si>
    <t>announce_eval_settings() -&gt; g_classifier=RF with type=&lt;class 'sklearn.ensemble.forest.RandomForestClassifier'&gt;</t>
  </si>
  <si>
    <t>announce_eval_settings() -&gt; g_plot_folder=Confusion-Matrices-RF</t>
  </si>
  <si>
    <t>get_tscv_confusion_metrics() -&gt; Result on stock=AAPL, horizon= 0 is precision=0.5106951871657754, recall=0.32538330494037476, f_measure=0.3975026014568159</t>
  </si>
  <si>
    <t>get_tscv_confusion_metrics() -&gt; Result on stock=AAPL, horizon= 1 is precision=0.5328083989501312, recall=0.31968503937007875, f_measure=0.39960629921259844</t>
  </si>
  <si>
    <t>get_tscv_confusion_metrics() -&gt; Result on stock=AAPL, horizon= 2 is precision=0.5904936014625228, recall=0.49312977099236643, f_measure=0.5374376039933443</t>
  </si>
  <si>
    <t>get_tscv_confusion_metrics() -&gt; Result on stock=AAPL, horizon= 3 is precision=0.6627906976744186, recall=0.5741007194244604, f_measure=0.6152659984579799</t>
  </si>
  <si>
    <t>get_tscv_confusion_metrics() -&gt; Result on stock=AAPL, horizon= 4 is precision=0.6968553459119496, recall=0.6933667083854819, f_measure=0.6951066499372647</t>
  </si>
  <si>
    <t>get_tscv_confusion_metrics() -&gt; Result on stock=AAPL, horizon= 5 is precision=0.8192252510760402, recall=0.8677811550151976, f_measure=0.8428044280442805</t>
  </si>
  <si>
    <t>get_tscv_confusion_metrics() -&gt; Result on stock=AMZN, horizon= 0 is precision=0.5228310502283106, recall=0.3741830065359477, f_measure=0.4361904761904762</t>
  </si>
  <si>
    <t>get_tscv_confusion_metrics() -&gt; Result on stock=AMZN, horizon= 1 is precision=0.5507246376811594, recall=0.3402985074626866, f_measure=0.42066420664206644</t>
  </si>
  <si>
    <t>get_tscv_confusion_metrics() -&gt; Result on stock=AMZN, horizon= 2 is precision=0.5614035087719298, recall=0.2328966521106259, f_measure=0.3292181069958847</t>
  </si>
  <si>
    <t>get_tscv_confusion_metrics() -&gt; Result on stock=AMZN, horizon= 3 is precision=0.5589887640449438, recall=0.26498002663115844, f_measure=0.3595302619692864</t>
  </si>
  <si>
    <t>get_tscv_confusion_metrics() -&gt; Result on stock=AMZN, horizon= 4 is precision=0.6871794871794872, recall=0.5388739946380697, f_measure=0.6040570999248687</t>
  </si>
  <si>
    <t>get_tscv_confusion_metrics() -&gt; Result on stock=AMZN, horizon= 5 is precision=0.770595690747782, recall=0.7562189054726368, f_measure=0.763339610797238</t>
  </si>
  <si>
    <t>get_tscv_confusion_metrics() -&gt; Result on stock=CSCO, horizon= 0 is precision=0.5512295081967213, recall=0.4606164383561644, f_measure=0.501865671641791</t>
  </si>
  <si>
    <t>get_tscv_confusion_metrics() -&gt; Result on stock=CSCO, horizon= 1 is precision=0.5747368421052632, recall=0.42857142857142855, f_measure=0.49100719424460426</t>
  </si>
  <si>
    <t>get_tscv_confusion_metrics() -&gt; Result on stock=CSCO, horizon= 2 is precision=0.5422993492407809, recall=0.3993610223642173, f_measure=0.45998160073597055</t>
  </si>
  <si>
    <t>get_tscv_confusion_metrics() -&gt; Result on stock=CSCO, horizon= 3 is precision=0.6027088036117382, recall=0.4224683544303797, f_measure=0.49674418604651166</t>
  </si>
  <si>
    <t>get_tscv_confusion_metrics() -&gt; Result on stock=CSCO, horizon= 4 is precision=0.6951219512195121, recall=0.40889526542324245, f_measure=0.5149051490514904</t>
  </si>
  <si>
    <t>get_tscv_confusion_metrics() -&gt; Result on stock=CSCO, horizon= 5 is precision=0.8072916666666666, recall=0.6208277703604806, f_measure=0.7018867924528303</t>
  </si>
  <si>
    <t>get_tscv_confusion_metrics() -&gt; Result on stock=GE, horizon= 0 is precision=0.46799116997792495, recall=0.3882783882783883, f_measure=0.4244244244244244</t>
  </si>
  <si>
    <t>get_tscv_confusion_metrics() -&gt; Result on stock=GE, horizon= 1 is precision=0.4597069597069597, recall=0.4726930320150659, f_measure=0.46610956360259975</t>
  </si>
  <si>
    <t>get_tscv_confusion_metrics() -&gt; Result on stock=GE, horizon= 2 is precision=0.4405144694533762, recall=0.5341130604288499, f_measure=0.48281938325991186</t>
  </si>
  <si>
    <t>get_tscv_confusion_metrics() -&gt; Result on stock=GE, horizon= 3 is precision=0.45185185185185184, recall=0.5992141453831041, f_measure=0.5152027027027027</t>
  </si>
  <si>
    <t>get_tscv_confusion_metrics() -&gt; Result on stock=GE, horizon= 4 is precision=0.4444444444444444, recall=0.545054945054945, f_measure=0.489634748272458</t>
  </si>
  <si>
    <t>get_tscv_confusion_metrics() -&gt; Result on stock=GE, horizon= 5 is precision=0.40371621621621623, recall=0.4989561586638831, f_measure=0.4463118580765639</t>
  </si>
  <si>
    <t>get_tscv_confusion_metrics() -&gt; Result on stock=GOOGL, horizon= 0 is precision=0.5436681222707423, recall=0.41778523489932884, f_measure=0.47248576850094876</t>
  </si>
  <si>
    <t>get_tscv_confusion_metrics() -&gt; Result on stock=GOOGL, horizon= 1 is precision=0.5590551181102362, recall=0.44583987441130296, f_measure=0.4960698689956332</t>
  </si>
  <si>
    <t>get_tscv_confusion_metrics() -&gt; Result on stock=GOOGL, horizon= 2 is precision=0.6036745406824147, recall=0.350076103500761, f_measure=0.44315992292870904</t>
  </si>
  <si>
    <t>get_tscv_confusion_metrics() -&gt; Result on stock=GOOGL, horizon= 3 is precision=0.548582995951417, recall=0.3938953488372093, f_measure=0.45854483925549916</t>
  </si>
  <si>
    <t>get_tscv_confusion_metrics() -&gt; Result on stock=GOOGL, horizon= 4 is precision=0.7128099173553719, recall=0.4739010989010989, f_measure=0.5693069306930694</t>
  </si>
  <si>
    <t>get_tscv_confusion_metrics() -&gt; Result on stock=GOOGL, horizon= 5 is precision=0.9252782193958664, recall=0.7657894736842106, f_measure=0.838012958963283</t>
  </si>
  <si>
    <t>get_tscv_confusion_metrics() -&gt; Result on stock=HP, horizon= 0 is precision=0.5088282504012841, recall=0.5590828924162258, f_measure=0.5327731092436975</t>
  </si>
  <si>
    <t>get_tscv_confusion_metrics() -&gt; Result on stock=HP, horizon= 1 is precision=0.5066666666666667, recall=0.5296167247386759, f_measure=0.5178875638841568</t>
  </si>
  <si>
    <t>get_tscv_confusion_metrics() -&gt; Result on stock=HP, horizon= 2 is precision=0.48919753086419754, recall=0.5456110154905336, f_measure=0.5158665581773799</t>
  </si>
  <si>
    <t>get_tscv_confusion_metrics() -&gt; Result on stock=HP, horizon= 3 is precision=0.524031007751938, recall=0.5898778359511344, f_measure=0.555008210180624</t>
  </si>
  <si>
    <t>get_tscv_confusion_metrics() -&gt; Result on stock=HP, horizon= 4 is precision=0.5556831228473019, recall=0.8446771378708552, f_measure=0.6703601108033241</t>
  </si>
  <si>
    <t>get_tscv_confusion_metrics() -&gt; Result on stock=HP, horizon= 5 is precision=0.39445300462249616, recall=0.847682119205298, f_measure=0.5383806519453207</t>
  </si>
  <si>
    <t>get_tscv_confusion_metrics() -&gt; Result on stock=IBM, horizon= 0 is precision=0.5211678832116788, recall=0.6307420494699647, f_measure=0.5707434052757794</t>
  </si>
  <si>
    <t>get_tscv_confusion_metrics() -&gt; Result on stock=IBM, horizon= 1 is precision=0.4909560723514212, recall=0.6834532374100719, f_measure=0.5714285714285714</t>
  </si>
  <si>
    <t>get_tscv_confusion_metrics() -&gt; Result on stock=IBM, horizon= 2 is precision=0.4490084985835694, recall=0.588126159554731, f_measure=0.5092369477911647</t>
  </si>
  <si>
    <t>get_tscv_confusion_metrics() -&gt; Result on stock=IBM, horizon= 3 is precision=0.4645161290322581, recall=0.5444234404536862, f_measure=0.5013054830287207</t>
  </si>
  <si>
    <t>get_tscv_confusion_metrics() -&gt; Result on stock=IBM, horizon= 4 is precision=0.45977011494252873, recall=0.5156537753222836, f_measure=0.4861111111111111</t>
  </si>
  <si>
    <t>get_tscv_confusion_metrics() -&gt; Result on stock=IBM, horizon= 5 is precision=0.4211618257261411, recall=0.7302158273381295, f_measure=0.5342105263157895</t>
  </si>
  <si>
    <t>get_tscv_confusion_metrics() -&gt; Result on stock=INTC, horizon= 0 is precision=0.5307167235494881, recall=0.520066889632107, f_measure=0.5253378378378378</t>
  </si>
  <si>
    <t>get_tscv_confusion_metrics() -&gt; Result on stock=INTC, horizon= 1 is precision=0.5685975609756098, recall=0.6025848142164781, f_measure=0.5850980392156861</t>
  </si>
  <si>
    <t>get_tscv_confusion_metrics() -&gt; Result on stock=INTC, horizon= 2 is precision=0.5721153846153846, recall=0.5630914826498423, f_measure=0.5675675675675677</t>
  </si>
  <si>
    <t>get_tscv_confusion_metrics() -&gt; Result on stock=INTC, horizon= 3 is precision=0.5911708253358925, recall=0.47166921898928027, f_measure=0.524701873935264</t>
  </si>
  <si>
    <t>get_tscv_confusion_metrics() -&gt; Result on stock=INTC, horizon= 4 is precision=0.669051878354204, recall=0.5598802395209581, f_measure=0.6096169519152406</t>
  </si>
  <si>
    <t>get_tscv_confusion_metrics() -&gt; Result on stock=INTC, horizon= 5 is precision=0.695906432748538, recall=0.7323076923076923, f_measure=0.7136431784107946</t>
  </si>
  <si>
    <t>get_tscv_confusion_metrics() -&gt; Result on stock=MSFT, horizon= 0 is precision=0.5450819672131147, recall=0.22696245733788395, f_measure=0.32048192771084333</t>
  </si>
  <si>
    <t>get_tscv_confusion_metrics() -&gt; Result on stock=MSFT, horizon= 1 is precision=0.5856079404466501, recall=0.35542168674698793, f_measure=0.44236176194939075</t>
  </si>
  <si>
    <t>get_tscv_confusion_metrics() -&gt; Result on stock=MSFT, horizon= 2 is precision=0.6477611940298508, recall=0.3140376266280753, f_measure=0.4230019493177388</t>
  </si>
  <si>
    <t>get_tscv_confusion_metrics() -&gt; Result on stock=MSFT, horizon= 3 is precision=0.6634844868735084, recall=0.3687002652519894, f_measure=0.47399829497016194</t>
  </si>
  <si>
    <t>get_tscv_confusion_metrics() -&gt; Result on stock=MSFT, horizon= 4 is precision=0.8024691358024691, recall=0.535924617196702, f_measure=0.6426553672316384</t>
  </si>
  <si>
    <t>get_tscv_confusion_metrics() -&gt; Result on stock=MSFT, horizon= 5 is precision=0.9353348729792148, recall=0.9551886792452831, f_measure=0.9451575262543758</t>
  </si>
  <si>
    <t>get_tscv_confusion_metrics() -&gt; Result on stock=WU, horizon= 0 is precision=0.5135699373695198, recall=0.4353982300884956, f_measure=0.47126436781609193</t>
  </si>
  <si>
    <t>get_tscv_confusion_metrics() -&gt; Result on stock=WU, horizon= 1 is precision=0.5336391437308868, recall=0.5845896147403685, f_measure=0.5579536370903277</t>
  </si>
  <si>
    <t>get_tscv_confusion_metrics() -&gt; Result on stock=WU, horizon= 2 is precision=0.5041152263374485, recall=0.4202401372212693, f_measure=0.4583723105706267</t>
  </si>
  <si>
    <t>get_tscv_confusion_metrics() -&gt; Result on stock=WU, horizon= 3 is precision=0.500823723228995, recall=0.5390070921985816, f_measure=0.5192143467122118</t>
  </si>
  <si>
    <t>get_tscv_confusion_metrics() -&gt; Result on stock=WU, horizon= 4 is precision=0.41906474820143885, recall=0.42988929889298894, f_measure=0.424408014571949</t>
  </si>
  <si>
    <t>get_tscv_confusion_metrics() -&gt; Result on stock=WU, horizon= 5 is precision=0.5505154639175258, recall=0.5164410058027079, f_measure=0.532934131736527</t>
  </si>
  <si>
    <t>get_tscv_confusion_metrics() -&gt; Result on stock=XRX, horizon= 0 is precision=0.4791666666666667, recall=0.4454225352112676, f_measure=0.4616788321167884</t>
  </si>
  <si>
    <t>get_tscv_confusion_metrics() -&gt; Result on stock=XRX, horizon= 1 is precision=0.5213675213675214, recall=0.49755301794453505, f_measure=0.5091819699499166</t>
  </si>
  <si>
    <t>get_tscv_confusion_metrics() -&gt; Result on stock=XRX, horizon= 2 is precision=0.5023847376788553, recall=0.5231788079470199, f_measure=0.5125709651257097</t>
  </si>
  <si>
    <t>get_tscv_confusion_metrics() -&gt; Result on stock=XRX, horizon= 3 is precision=0.5294840294840295, recall=0.7030995106035889, f_measure=0.6040644709180097</t>
  </si>
  <si>
    <t>get_tscv_confusion_metrics() -&gt; Result on stock=XRX, horizon= 4 is precision=0.4076809453471196, recall=0.5667351129363449, f_measure=0.4742268041237113</t>
  </si>
  <si>
    <t>get_tscv_confusion_metrics() -&gt; Result on stock=XRX, horizon= 5 is precision=0.2985468956406869, recall=1.0, f_measure=0.4598168870803662</t>
  </si>
  <si>
    <t>get_tscv_confusion_metrics() -&gt; Result on stock=Tech-Group-AVG, horizon=0 is precision=0.5166168782673637, recall=0.4340392156862745, f_measure=0.47174153951069814</t>
  </si>
  <si>
    <t>get_tscv_confusion_metrics() -&gt; Result on stock=Tech-Group-AVG, horizon=1 is precision=0.5313542361574383, recall=0.47319174216545373, f_measure=0.500589205750648</t>
  </si>
  <si>
    <t>get_tscv_confusion_metrics() -&gt; Result on stock=Tech-Group-AVG, horizon=2 is precision=0.5251572327044025, recall=0.44401772525849337, f_measure=0.48119097166639985</t>
  </si>
  <si>
    <t>get_tscv_confusion_metrics() -&gt; Result on stock=Tech-Group-AVG, horizon=3 is precision=0.5468043899289864, recall=0.4867116793564143, f_measure=0.515011020749411</t>
  </si>
  <si>
    <t>get_tscv_confusion_metrics() -&gt; Result on stock=Tech-Group-AVG, horizon=4 is precision=0.5900164892819667, recall=0.5553830958092282, f_measure=0.5721761883994767</t>
  </si>
  <si>
    <t>get_tscv_confusion_metrics() -&gt; Result on stock=Tech-Group-AVG, horizon=5 is precision=0.6526505689703025, recall=0.7499601339499282, f_measure=0.6979298063367219</t>
  </si>
  <si>
    <t>announce_eval_settings() -&gt; use_feature_extraction=True, use_tuning=False</t>
  </si>
  <si>
    <t>get_tscv_confusion_metrics() -&gt; Result on stock=AAPL, horizon= 0 is precision=0.5322195704057279, recall=0.3798977853492334, f_measure=0.44333996023856853</t>
  </si>
  <si>
    <t>get_tscv_confusion_metrics() -&gt; Result on stock=AAPL, horizon= 1 is precision=0.5277161862527716, recall=0.37480314960629924, f_measure=0.43830570902394106</t>
  </si>
  <si>
    <t>get_tscv_confusion_metrics() -&gt; Result on stock=AAPL, horizon= 2 is precision=0.5658627087198516, recall=0.46564885496183206, f_measure=0.5108877721943049</t>
  </si>
  <si>
    <t>get_tscv_confusion_metrics() -&gt; Result on stock=AAPL, horizon= 3 is precision=0.5587761674718197, recall=0.49928057553956834, f_measure=0.5273556231003039</t>
  </si>
  <si>
    <t>get_tscv_confusion_metrics() -&gt; Result on stock=AAPL, horizon= 4 is precision=0.6854304635761589, recall=0.5181476846057572, f_measure=0.5901639344262295</t>
  </si>
  <si>
    <t>get_tscv_confusion_metrics() -&gt; Result on stock=AAPL, horizon= 5 is precision=0.8952959028831563, recall=0.8966565349544073, f_measure=0.8959757023538344</t>
  </si>
  <si>
    <t>get_tscv_confusion_metrics() -&gt; Result on stock=AMZN, horizon= 0 is precision=0.5186721991701245, recall=0.4084967320261438, f_measure=0.45703839122486295</t>
  </si>
  <si>
    <t>get_tscv_confusion_metrics() -&gt; Result on stock=AMZN, horizon= 1 is precision=0.5432595573440644, recall=0.40298507462686567, f_measure=0.4627249357326478</t>
  </si>
  <si>
    <t>get_tscv_confusion_metrics() -&gt; Result on stock=AMZN, horizon= 2 is precision=0.5487603305785124, recall=0.48326055312954874, f_measure=0.5139318885448917</t>
  </si>
  <si>
    <t>get_tscv_confusion_metrics() -&gt; Result on stock=AMZN, horizon= 3 is precision=0.6009771986970684, recall=0.49134487350199735, f_measure=0.5406593406593407</t>
  </si>
  <si>
    <t>get_tscv_confusion_metrics() -&gt; Result on stock=AMZN, horizon= 4 is precision=0.655436447166922, recall=0.5737265415549598, f_measure=0.6118656182987848</t>
  </si>
  <si>
    <t>get_tscv_confusion_metrics() -&gt; Result on stock=AMZN, horizon= 5 is precision=0.888121546961326, recall=0.7997512437810945, f_measure=0.8416230366492147</t>
  </si>
  <si>
    <t>get_tscv_confusion_metrics() -&gt; Result on stock=CSCO, horizon= 0 is precision=0.49665924276169265, recall=0.3818493150684932, f_measure=0.4317521781219748</t>
  </si>
  <si>
    <t>get_tscv_confusion_metrics() -&gt; Result on stock=CSCO, horizon= 1 is precision=0.5711947626841244, recall=0.5478806907378336, f_measure=0.5592948717948718</t>
  </si>
  <si>
    <t>get_tscv_confusion_metrics() -&gt; Result on stock=CSCO, horizon= 2 is precision=0.5646123260437376, recall=0.4536741214057508, f_measure=0.5031000885739593</t>
  </si>
  <si>
    <t>get_tscv_confusion_metrics() -&gt; Result on stock=CSCO, horizon= 3 is precision=0.559322033898305, recall=0.4699367088607595, f_measure=0.5107480653482374</t>
  </si>
  <si>
    <t>get_tscv_confusion_metrics() -&gt; Result on stock=CSCO, horizon= 4 is precision=0.6749226006191951, recall=0.3127690100430416, f_measure=0.42745098039215684</t>
  </si>
  <si>
    <t>get_tscv_confusion_metrics() -&gt; Result on stock=CSCO, horizon= 5 is precision=0.8718354430379747, recall=0.7356475300400535, f_measure=0.7979724837074584</t>
  </si>
  <si>
    <t>get_tscv_confusion_metrics() -&gt; Result on stock=GE, horizon= 0 is precision=0.47992351816443596, recall=0.4597069597069597, f_measure=0.46959775491113187</t>
  </si>
  <si>
    <t>get_tscv_confusion_metrics() -&gt; Result on stock=GE, horizon= 1 is precision=0.46140939597315433, recall=0.5178907721280602, f_measure=0.4880212954747116</t>
  </si>
  <si>
    <t>get_tscv_confusion_metrics() -&gt; Result on stock=GE, horizon= 2 is precision=0.43333333333333335, recall=0.45614035087719296, f_measure=0.4444444444444444</t>
  </si>
  <si>
    <t>get_tscv_confusion_metrics() -&gt; Result on stock=GE, horizon= 3 is precision=0.44525547445255476, recall=0.5992141453831041, f_measure=0.5108877721943048</t>
  </si>
  <si>
    <t>get_tscv_confusion_metrics() -&gt; Result on stock=GE, horizon= 4 is precision=0.4469964664310954, recall=0.5560439560439561, f_measure=0.49559255631733595</t>
  </si>
  <si>
    <t>get_tscv_confusion_metrics() -&gt; Result on stock=GE, horizon= 5 is precision=0.5190562613430127, recall=0.5970772442588727, f_measure=0.5553398058252428</t>
  </si>
  <si>
    <t>get_tscv_confusion_metrics() -&gt; Result on stock=GOOGL, horizon= 0 is precision=0.5454545454545454, recall=0.5637583892617449, f_measure=0.5544554455445544</t>
  </si>
  <si>
    <t>get_tscv_confusion_metrics() -&gt; Result on stock=GOOGL, horizon= 1 is precision=0.5424028268551236, recall=0.48194662480376765, f_measure=0.510390689941812</t>
  </si>
  <si>
    <t>get_tscv_confusion_metrics() -&gt; Result on stock=GOOGL, horizon= 2 is precision=0.6155555555555555, recall=0.4216133942161339, f_measure=0.5004516711833785</t>
  </si>
  <si>
    <t>get_tscv_confusion_metrics() -&gt; Result on stock=GOOGL, horizon= 3 is precision=0.6055312954876274, recall=0.6046511627906976, f_measure=0.6050909090909091</t>
  </si>
  <si>
    <t>get_tscv_confusion_metrics() -&gt; Result on stock=GOOGL, horizon= 4 is precision=0.747008547008547, recall=0.6002747252747253, f_measure=0.6656511805026656</t>
  </si>
  <si>
    <t>get_tscv_confusion_metrics() -&gt; Result on stock=GOOGL, horizon= 5 is precision=0.9336283185840708, recall=0.8328947368421052, f_measure=0.8803894297635605</t>
  </si>
  <si>
    <t>get_tscv_confusion_metrics() -&gt; Result on stock=HP, horizon= 0 is precision=0.4928825622775801, recall=0.48853615520282184, f_measure=0.4906997342781223</t>
  </si>
  <si>
    <t>get_tscv_confusion_metrics() -&gt; Result on stock=HP, horizon= 1 is precision=0.5060606060606061, recall=0.5818815331010453, f_measure=0.5413290113452187</t>
  </si>
  <si>
    <t>get_tscv_confusion_metrics() -&gt; Result on stock=HP, horizon= 2 is precision=0.4924346629986245, recall=0.6161790017211703, f_measure=0.5474006116207951</t>
  </si>
  <si>
    <t>get_tscv_confusion_metrics() -&gt; Result on stock=HP, horizon= 3 is precision=0.4710860366713681, recall=0.5828970331588132, f_measure=0.5210608424336973</t>
  </si>
  <si>
    <t>get_tscv_confusion_metrics() -&gt; Result on stock=HP, horizon= 4 is precision=0.5137299771167048, recall=0.7835951134380453, f_measure=0.6205943331029716</t>
  </si>
  <si>
    <t>get_tscv_confusion_metrics() -&gt; Result on stock=HP, horizon= 5 is precision=0.3606837606837607, recall=0.6986754966887417, f_measure=0.47576099210823003</t>
  </si>
  <si>
    <t>get_tscv_confusion_metrics() -&gt; Result on stock=IBM, horizon= 0 is precision=0.5034246575342466, recall=0.519434628975265, f_measure=0.5113043478260869</t>
  </si>
  <si>
    <t>get_tscv_confusion_metrics() -&gt; Result on stock=IBM, horizon= 1 is precision=0.47581903276131043, recall=0.5485611510791367, f_measure=0.5096073517126148</t>
  </si>
  <si>
    <t>get_tscv_confusion_metrics() -&gt; Result on stock=IBM, horizon= 2 is precision=0.4656084656084656, recall=0.4897959183673469, f_measure=0.47739602169981915</t>
  </si>
  <si>
    <t>get_tscv_confusion_metrics() -&gt; Result on stock=IBM, horizon= 3 is precision=0.4600484261501211, recall=0.3591682419659735, f_measure=0.4033970276008493</t>
  </si>
  <si>
    <t>get_tscv_confusion_metrics() -&gt; Result on stock=IBM, horizon= 4 is precision=0.5447897623400365, recall=0.5488029465930019, f_measure=0.5467889908256881</t>
  </si>
  <si>
    <t>get_tscv_confusion_metrics() -&gt; Result on stock=IBM, horizon= 5 is precision=0.4584527220630373, recall=0.5755395683453237, f_measure=0.5103668261562999</t>
  </si>
  <si>
    <t>get_tscv_confusion_metrics() -&gt; Result on stock=INTC, horizon= 0 is precision=0.5316045380875203, recall=0.5484949832775919, f_measure=0.5399176954732511</t>
  </si>
  <si>
    <t>get_tscv_confusion_metrics() -&gt; Result on stock=INTC, horizon= 1 is precision=0.5521367521367522, recall=0.5218093699515347, f_measure=0.5365448504983389</t>
  </si>
  <si>
    <t>get_tscv_confusion_metrics() -&gt; Result on stock=INTC, horizon= 2 is precision=0.5743494423791822, recall=0.48738170347003157, f_measure=0.5273037542662116</t>
  </si>
  <si>
    <t>get_tscv_confusion_metrics() -&gt; Result on stock=INTC, horizon= 3 is precision=0.6282306163021869, recall=0.48392036753445633, f_measure=0.546712802768166</t>
  </si>
  <si>
    <t>get_tscv_confusion_metrics() -&gt; Result on stock=INTC, horizon= 4 is precision=0.7293497363796133, recall=0.6212574850299402, f_measure=0.6709781729991916</t>
  </si>
  <si>
    <t>get_tscv_confusion_metrics() -&gt; Result on stock=INTC, horizon= 5 is precision=0.7187894073139974, recall=0.8769230769230769, f_measure=0.7900207900207901</t>
  </si>
  <si>
    <t>get_tscv_confusion_metrics() -&gt; Result on stock=MSFT, horizon= 0 is precision=0.5316455696202531, recall=0.4300341296928328, f_measure=0.47547169811320755</t>
  </si>
  <si>
    <t>get_tscv_confusion_metrics() -&gt; Result on stock=MSFT, horizon= 1 is precision=0.6203319502074689, recall=0.4503012048192771, f_measure=0.5218150087260035</t>
  </si>
  <si>
    <t>get_tscv_confusion_metrics() -&gt; Result on stock=MSFT, horizon= 2 is precision=0.7254545454545455, recall=0.5774240231548481, f_measure=0.6430298146655923</t>
  </si>
  <si>
    <t>get_tscv_confusion_metrics() -&gt; Result on stock=MSFT, horizon= 3 is precision=0.7766599597585513, recall=0.5119363395225465, f_measure=0.6171063149480416</t>
  </si>
  <si>
    <t>get_tscv_confusion_metrics() -&gt; Result on stock=MSFT, horizon= 4 is precision=0.8221614227086184, recall=0.7078916372202592, f_measure=0.7607594936708861</t>
  </si>
  <si>
    <t>get_tscv_confusion_metrics() -&gt; Result on stock=MSFT, horizon= 5 is precision=0.9447708578143361, recall=0.9481132075471698, f_measure=0.946439081812831</t>
  </si>
  <si>
    <t>get_tscv_confusion_metrics() -&gt; Result on stock=WU, horizon= 0 is precision=0.5052816901408451, recall=0.5079646017699115, f_measure=0.5066195939982349</t>
  </si>
  <si>
    <t>get_tscv_confusion_metrics() -&gt; Result on stock=WU, horizon= 1 is precision=0.5253256150506512, recall=0.6080402010050251, f_measure=0.5636645962732919</t>
  </si>
  <si>
    <t>get_tscv_confusion_metrics() -&gt; Result on stock=WU, horizon= 2 is precision=0.525, recall=0.5763293310463122, f_measure=0.5494685200327064</t>
  </si>
  <si>
    <t>get_tscv_confusion_metrics() -&gt; Result on stock=WU, horizon= 3 is precision=0.5243445692883895, recall=0.49645390070921985, f_measure=0.5100182149362477</t>
  </si>
  <si>
    <t>get_tscv_confusion_metrics() -&gt; Result on stock=WU, horizon= 4 is precision=0.44801512287334594, recall=0.43726937269372695, f_measure=0.4425770308123249</t>
  </si>
  <si>
    <t>get_tscv_confusion_metrics() -&gt; Result on stock=WU, horizon= 5 is precision=0.6404886561954625, recall=0.7098646034816247, f_measure=0.6733944954128441</t>
  </si>
  <si>
    <t>get_tscv_confusion_metrics() -&gt; Result on stock=XRX, horizon= 0 is precision=0.5059625212947189, recall=0.522887323943662, f_measure=0.5142857142857143</t>
  </si>
  <si>
    <t>get_tscv_confusion_metrics() -&gt; Result on stock=XRX, horizon= 1 is precision=0.5251017639077341, recall=0.6313213703099511, f_measure=0.5733333333333334</t>
  </si>
  <si>
    <t>get_tscv_confusion_metrics() -&gt; Result on stock=XRX, horizon= 2 is precision=0.5528662420382165, recall=0.7185430463576159, f_measure=0.624910007199424</t>
  </si>
  <si>
    <t>get_tscv_confusion_metrics() -&gt; Result on stock=XRX, horizon= 3 is precision=0.5469483568075117, recall=0.7601957585644372, f_measure=0.6361774744027304</t>
  </si>
  <si>
    <t>get_tscv_confusion_metrics() -&gt; Result on stock=XRX, horizon= 4 is precision=0.4098883572567783, recall=0.5277207392197125, f_measure=0.46140035906642723</t>
  </si>
  <si>
    <t>get_tscv_confusion_metrics() -&gt; Result on stock=XRX, horizon= 5 is precision=0.4024390243902439, recall=0.8761061946902655, f_measure=0.5515320334261838</t>
  </si>
  <si>
    <t>get_tscv_confusion_metrics() -&gt; Result on stock=Tech-Group-AVG, horizon=0 is precision=0.5131780309471179, recall=0.47341176470588237, f_measure=0.4924934725848564</t>
  </si>
  <si>
    <t>get_tscv_confusion_metrics() -&gt; Result on stock=Tech-Group-AVG, horizon=1 is precision=0.5293846862053092, recall=0.512401604039804, f_measure=0.5207547169811321</t>
  </si>
  <si>
    <t>get_tscv_confusion_metrics() -&gt; Result on stock=Tech-Group-AVG, horizon=2 is precision=0.548106765983861, recall=0.5217134416543575, f_measure=0.534584531557439</t>
  </si>
  <si>
    <t>get_tscv_confusion_metrics() -&gt; Result on stock=Tech-Group-AVG, horizon=3 is precision=0.5576286488113151, recall=0.5323947708662549, f_measure=0.5447196296024105</t>
  </si>
  <si>
    <t>get_tscv_confusion_metrics() -&gt; Result on stock=Tech-Group-AVG, horizon=4 is precision=0.6063861985472155, recall=0.5654014392549739, f_measure=0.5851770719240599</t>
  </si>
  <si>
    <t>get_tscv_confusion_metrics() -&gt; Result on stock=Tech-Group-AVG, horizon=5 is precision=0.7278931319878031, recall=0.7993940360389092, f_measure=0.7619699042407662</t>
  </si>
  <si>
    <t>get_tscv_confusion_metrics() -&gt; Result on stock=AAPL, horizon= 0 is precision=0.5131313131313131, recall=0.43270868824531517, f_measure=0.46950092421441775</t>
  </si>
  <si>
    <t>get_tscv_confusion_metrics() -&gt; Result on stock=AAPL, horizon= 1 is precision=0.5491329479768786, recall=0.44881889763779526, f_measure=0.49393414211438474</t>
  </si>
  <si>
    <t>get_tscv_confusion_metrics() -&gt; Result on stock=AAPL, horizon= 2 is precision=0.5393518518518519, recall=0.35572519083969467, f_measure=0.42870285188592455</t>
  </si>
  <si>
    <t>get_tscv_confusion_metrics() -&gt; Result on stock=AAPL, horizon= 3 is precision=0.605543710021322, recall=0.40863309352517985, f_measure=0.4879725085910654</t>
  </si>
  <si>
    <t>get_tscv_confusion_metrics() -&gt; Result on stock=AAPL, horizon= 4 is precision=0.7185741088180112, recall=0.4793491864831039, f_measure=0.5750750750750752</t>
  </si>
  <si>
    <t>get_tscv_confusion_metrics() -&gt; Result on stock=AAPL, horizon= 5 is precision=0.7435897435897436, recall=0.8814589665653495, f_measure=0.8066759388038944</t>
  </si>
  <si>
    <t>get_tscv_confusion_metrics() -&gt; Result on stock=AMZN, horizon= 0 is precision=0.5262267343485617, recall=0.5081699346405228, f_measure=0.5170407315045717</t>
  </si>
  <si>
    <t>get_tscv_confusion_metrics() -&gt; Result on stock=AMZN, horizon= 1 is precision=0.557504873294347, recall=0.42686567164179107, f_measure=0.4835164835164835</t>
  </si>
  <si>
    <t>get_tscv_confusion_metrics() -&gt; Result on stock=AMZN, horizon= 2 is precision=0.5923664122137404, recall=0.5647743813682679, f_measure=0.5782414307004472</t>
  </si>
  <si>
    <t>get_tscv_confusion_metrics() -&gt; Result on stock=AMZN, horizon= 3 is precision=0.6194852941176471, recall=0.44873501997336884, f_measure=0.5204633204633203</t>
  </si>
  <si>
    <t>get_tscv_confusion_metrics() -&gt; Result on stock=AMZN, horizon= 4 is precision=0.7162162162162162, recall=0.6394101876675603, f_measure=0.6756373937677053</t>
  </si>
  <si>
    <t>get_tscv_confusion_metrics() -&gt; Result on stock=AMZN, horizon= 5 is precision=0.8774583963691377, recall=0.7213930348258707, f_measure=0.7918088737201365</t>
  </si>
  <si>
    <t>get_tscv_confusion_metrics() -&gt; Result on stock=CSCO, horizon= 0 is precision=0.5061511423550088, recall=0.4931506849315068, f_measure=0.49956634865568084</t>
  </si>
  <si>
    <t>get_tscv_confusion_metrics() -&gt; Result on stock=CSCO, horizon= 1 is precision=0.555765595463138, recall=0.46153846153846156, f_measure=0.5042881646655231</t>
  </si>
  <si>
    <t>get_tscv_confusion_metrics() -&gt; Result on stock=CSCO, horizon= 2 is precision=0.536779324055666, recall=0.43130990415335463, f_measure=0.4782993799822852</t>
  </si>
  <si>
    <t>get_tscv_confusion_metrics() -&gt; Result on stock=CSCO, horizon= 3 is precision=0.5665236051502146, recall=0.4177215189873418, f_measure=0.4808743169398907</t>
  </si>
  <si>
    <t>get_tscv_confusion_metrics() -&gt; Result on stock=CSCO, horizon= 4 is precision=0.6639004149377593, recall=0.45911047345767575, f_measure=0.542832909245123</t>
  </si>
  <si>
    <t>get_tscv_confusion_metrics() -&gt; Result on stock=CSCO, horizon= 5 is precision=0.7764550264550265, recall=0.7837116154873164, f_measure=0.7800664451827243</t>
  </si>
  <si>
    <t>get_tscv_confusion_metrics() -&gt; Result on stock=GE, horizon= 0 is precision=0.4823529411764706, recall=0.5256410256410257, f_measure=0.5030674846625767</t>
  </si>
  <si>
    <t>get_tscv_confusion_metrics() -&gt; Result on stock=GE, horizon= 1 is precision=0.4855769230769231, recall=0.5706214689265536, f_measure=0.5246753246753246</t>
  </si>
  <si>
    <t>get_tscv_confusion_metrics() -&gt; Result on stock=GE, horizon= 2 is precision=0.4727272727272727, recall=0.557504873294347, f_measure=0.5116279069767441</t>
  </si>
  <si>
    <t>get_tscv_confusion_metrics() -&gt; Result on stock=GE, horizon= 3 is precision=0.45514950166112955, recall=0.5383104125736738, f_measure=0.49324932493249324</t>
  </si>
  <si>
    <t>get_tscv_confusion_metrics() -&gt; Result on stock=GE, horizon= 4 is precision=0.5111402359108781, recall=0.8571428571428571, f_measure=0.6403940886699507</t>
  </si>
  <si>
    <t>get_tscv_confusion_metrics() -&gt; Result on stock=GE, horizon= 5 is precision=0.5475, recall=0.4572025052192067, f_measure=0.49829351535836175</t>
  </si>
  <si>
    <t>get_tscv_confusion_metrics() -&gt; Result on stock=GOOGL, horizon= 0 is precision=0.5475206611570248, recall=0.4446308724832215, f_measure=0.49074074074074076</t>
  </si>
  <si>
    <t>get_tscv_confusion_metrics() -&gt; Result on stock=GOOGL, horizon= 1 is precision=0.5460636515912898, recall=0.5117739403453689, f_measure=0.5283630470016208</t>
  </si>
  <si>
    <t>get_tscv_confusion_metrics() -&gt; Result on stock=GOOGL, horizon= 2 is precision=0.5766550522648084, recall=0.5038051750380518, f_measure=0.5377741673436232</t>
  </si>
  <si>
    <t>get_tscv_confusion_metrics() -&gt; Result on stock=GOOGL, horizon= 3 is precision=0.6558139534883721, recall=0.40988372093023256, f_measure=0.5044722719141324</t>
  </si>
  <si>
    <t>get_tscv_confusion_metrics() -&gt; Result on stock=GOOGL, horizon= 4 is precision=0.7813688212927756, recall=0.5645604395604396, f_measure=0.6555023923444976</t>
  </si>
  <si>
    <t>get_tscv_confusion_metrics() -&gt; Result on stock=GOOGL, horizon= 5 is precision=0.9212007504690432, recall=0.6460526315789473, f_measure=0.759474091260634</t>
  </si>
  <si>
    <t>get_tscv_confusion_metrics() -&gt; Result on stock=HP, horizon= 0 is precision=0.4524236983842011, recall=0.4444444444444444, f_measure=0.4483985765124555</t>
  </si>
  <si>
    <t>get_tscv_confusion_metrics() -&gt; Result on stock=HP, horizon= 1 is precision=0.4900990099009901, recall=0.5174216027874564, f_measure=0.5033898305084745</t>
  </si>
  <si>
    <t>get_tscv_confusion_metrics() -&gt; Result on stock=HP, horizon= 2 is precision=0.5007974481658692, recall=0.540447504302926, f_measure=0.5198675496688742</t>
  </si>
  <si>
    <t>get_tscv_confusion_metrics() -&gt; Result on stock=HP, horizon= 3 is precision=0.4463452566096423, recall=0.5008726003490401, f_measure=0.47203947368421056</t>
  </si>
  <si>
    <t>get_tscv_confusion_metrics() -&gt; Result on stock=HP, horizon= 4 is precision=0.5592747559274756, recall=0.699825479930192, f_measure=0.6217054263565892</t>
  </si>
  <si>
    <t>get_tscv_confusion_metrics() -&gt; Result on stock=HP, horizon= 5 is precision=0.37566137566137564, recall=0.7052980132450332, f_measure=0.4902186421173763</t>
  </si>
  <si>
    <t>get_tscv_confusion_metrics() -&gt; Result on stock=IBM, horizon= 0 is precision=0.5017857142857143, recall=0.49646643109540634, f_measure=0.4991119005328597</t>
  </si>
  <si>
    <t>get_tscv_confusion_metrics() -&gt; Result on stock=IBM, horizon= 1 is precision=0.5064935064935064, recall=0.4910071942446043, f_measure=0.4986301369863014</t>
  </si>
  <si>
    <t>get_tscv_confusion_metrics() -&gt; Result on stock=IBM, horizon= 2 is precision=0.49012567324955114, recall=0.5064935064935064, f_measure=0.4981751824817518</t>
  </si>
  <si>
    <t>get_tscv_confusion_metrics() -&gt; Result on stock=IBM, horizon= 3 is precision=0.5117117117117117, recall=0.5368620037807184, f_measure=0.5239852398523985</t>
  </si>
  <si>
    <t>get_tscv_confusion_metrics() -&gt; Result on stock=IBM, horizon= 4 is precision=0.5664556962025317, recall=0.6593001841620626, f_measure=0.6093617021276596</t>
  </si>
  <si>
    <t>get_tscv_confusion_metrics() -&gt; Result on stock=IBM, horizon= 5 is precision=0.3752808988764045, recall=0.6007194244604317, f_measure=0.4619640387275242</t>
  </si>
  <si>
    <t>get_tscv_confusion_metrics() -&gt; Result on stock=INTC, horizon= 0 is precision=0.5549915397631133, recall=0.5484949832775919, f_measure=0.5517241379310345</t>
  </si>
  <si>
    <t>get_tscv_confusion_metrics() -&gt; Result on stock=INTC, horizon= 1 is precision=0.5472263868065967, recall=0.5896607431340872, f_measure=0.5676516329704511</t>
  </si>
  <si>
    <t>get_tscv_confusion_metrics() -&gt; Result on stock=INTC, horizon= 2 is precision=0.5553772070626003, recall=0.5457413249211357, f_measure=0.5505171042163883</t>
  </si>
  <si>
    <t>get_tscv_confusion_metrics() -&gt; Result on stock=INTC, horizon= 3 is precision=0.6228287841191067, recall=0.38437978560490044, f_measure=0.47537878787878785</t>
  </si>
  <si>
    <t>get_tscv_confusion_metrics() -&gt; Result on stock=INTC, horizon= 4 is precision=0.6598746081504702, recall=0.6302395209580839, f_measure=0.6447166921898928</t>
  </si>
  <si>
    <t>get_tscv_confusion_metrics() -&gt; Result on stock=INTC, horizon= 5 is precision=0.660458452722063, recall=0.7092307692307692, f_measure=0.6839762611275964</t>
  </si>
  <si>
    <t>get_tscv_confusion_metrics() -&gt; Result on stock=MSFT, horizon= 0 is precision=0.5177304964539007, recall=0.37372013651877134, f_measure=0.4340931615460852</t>
  </si>
  <si>
    <t>get_tscv_confusion_metrics() -&gt; Result on stock=MSFT, horizon= 1 is precision=0.6236933797909407, recall=0.5391566265060241, f_measure=0.5783521809369951</t>
  </si>
  <si>
    <t>get_tscv_confusion_metrics() -&gt; Result on stock=MSFT, horizon= 2 is precision=0.6536585365853659, recall=0.5817655571635311, f_measure=0.6156202143950995</t>
  </si>
  <si>
    <t>get_tscv_confusion_metrics() -&gt; Result on stock=MSFT, horizon= 3 is precision=0.6983546617915904, recall=0.506631299734748, f_measure=0.5872405841660261</t>
  </si>
  <si>
    <t>get_tscv_confusion_metrics() -&gt; Result on stock=MSFT, horizon= 4 is precision=0.8141135972461274, recall=0.5571260306242638, f_measure=0.6615384615384615</t>
  </si>
  <si>
    <t>get_tscv_confusion_metrics() -&gt; Result on stock=MSFT, horizon= 5 is precision=0.9639953542392566, recall=0.9787735849056604, f_measure=0.9713282621416033</t>
  </si>
  <si>
    <t>get_tscv_confusion_metrics() -&gt; Result on stock=WU, horizon= 0 is precision=0.511504424778761, recall=0.511504424778761, f_measure=0.511504424778761</t>
  </si>
  <si>
    <t>get_tscv_confusion_metrics() -&gt; Result on stock=WU, horizon= 1 is precision=0.5129958960328317, recall=0.628140703517588, f_measure=0.5647590361445782</t>
  </si>
  <si>
    <t>get_tscv_confusion_metrics() -&gt; Result on stock=WU, horizon= 2 is precision=0.5035714285714286, recall=0.483704974271012, f_measure=0.4934383202099737</t>
  </si>
  <si>
    <t>get_tscv_confusion_metrics() -&gt; Result on stock=WU, horizon= 3 is precision=0.5387596899224806, recall=0.4929078014184397, f_measure=0.5148148148148147</t>
  </si>
  <si>
    <t>get_tscv_confusion_metrics() -&gt; Result on stock=WU, horizon= 4 is precision=0.4614003590664273, recall=0.474169741697417, f_measure=0.4676979071883531</t>
  </si>
  <si>
    <t>get_tscv_confusion_metrics() -&gt; Result on stock=WU, horizon= 5 is precision=0.5346097201767305, recall=0.7021276595744681, f_measure=0.6070234113712374</t>
  </si>
  <si>
    <t>get_tscv_confusion_metrics() -&gt; Result on stock=XRX, horizon= 0 is precision=0.5067064083457526, recall=0.5985915492957746, f_measure=0.5488297013720743</t>
  </si>
  <si>
    <t>get_tscv_confusion_metrics() -&gt; Result on stock=XRX, horizon= 1 is precision=0.5479651162790697, recall=0.6150081566068516, f_measure=0.579554189085319</t>
  </si>
  <si>
    <t>get_tscv_confusion_metrics() -&gt; Result on stock=XRX, horizon= 2 is precision=0.5097402597402597, recall=0.5198675496688742, f_measure=0.5147540983606558</t>
  </si>
  <si>
    <t>get_tscv_confusion_metrics() -&gt; Result on stock=XRX, horizon= 3 is precision=0.559074299634592, recall=0.7487765089722676, f_measure=0.6401673640167365</t>
  </si>
  <si>
    <t>get_tscv_confusion_metrics() -&gt; Result on stock=XRX, horizon= 4 is precision=0.43951612903225806, recall=0.44763860369609854, f_measure=0.4435401831129196</t>
  </si>
  <si>
    <t>get_tscv_confusion_metrics() -&gt; Result on stock=XRX, horizon= 5 is precision=0.42971887550200805, recall=0.9469026548672567, f_measure=0.5911602209944752</t>
  </si>
  <si>
    <t>get_tscv_confusion_metrics() -&gt; Result on stock=Tech-Group-AVG, horizon=0 is precision=0.5104081298147845, recall=0.4884705882352941, f_measure=0.49919846104520676</t>
  </si>
  <si>
    <t>get_tscv_confusion_metrics() -&gt; Result on stock=Tech-Group-AVG, horizon=1 is precision=0.5372703810535904, recall=0.5256200802019902, f_measure=0.5313813813813814</t>
  </si>
  <si>
    <t>get_tscv_confusion_metrics() -&gt; Result on stock=Tech-Group-AVG, horizon=2 is precision=0.5401287890686352, recall=0.5079763663220088, f_measure=0.5235594123468067</t>
  </si>
  <si>
    <t>get_tscv_confusion_metrics() -&gt; Result on stock=Tech-Group-AVG, horizon=3 is precision=0.5640426951300868, recall=0.4858497342335871, f_measure=0.5220344215481979</t>
  </si>
  <si>
    <t>get_tscv_confusion_metrics() -&gt; Result on stock=Tech-Group-AVG, horizon=4 is precision=0.6234258837809133, recall=0.5797939889939325, f_measure=0.600818833162743</t>
  </si>
  <si>
    <t>get_tscv_confusion_metrics() -&gt; Result on stock=Tech-Group-AVG, horizon=5 is precision=0.6840651352137249, recall=0.7502790623505023, f_measure=0.7156437751920298</t>
  </si>
  <si>
    <t>get_tscv_confusion_metrics() -&gt; Result on stock=Tech-Group-AVG, horizon=0 is precision=0.5007312079555426, recall=0.5370980392156863, f_measure=0.5182774540225537</t>
  </si>
  <si>
    <t>get_tscv_confusion_metrics() -&gt; Result on stock=Tech-Group-AVG, horizon=1 is precision=0.530327868852459, recall=0.5765631961978316, f_measure=0.5524798975307763</t>
  </si>
  <si>
    <t>get_tscv_confusion_metrics() -&gt; Result on stock=Tech-Group-AVG, horizon=2 is precision=0.5438168766084247, recall=0.5930576070901034, f_measure=0.5673708754327704</t>
  </si>
  <si>
    <t>get_tscv_confusion_metrics() -&gt; Result on stock=Tech-Group-AVG, horizon=3 is precision=0.5585550339071466, recall=0.6152851601781353, f_measure=0.5855492514867728</t>
  </si>
  <si>
    <t>get_tscv_confusion_metrics() -&gt; Result on stock=Tech-Group-AVG, horizon=4 is precision=0.5743731918997107, recall=0.6723578382954706, f_measure=0.6195150490801534</t>
  </si>
  <si>
    <t>get_tscv_confusion_metrics() -&gt; Result on stock=Tech-Group-AVG, horizon=5 is precision=0.5660716290557988, recall=0.8040184978472333, f_measure=0.6643826591118724</t>
  </si>
  <si>
    <t>get_tscv_confusion_metrics() -&gt; Result on stock</t>
  </si>
  <si>
    <t xml:space="preserve"> horizon</t>
  </si>
  <si>
    <t xml:space="preserve"> 0 is precision</t>
  </si>
  <si>
    <t xml:space="preserve"> recall</t>
  </si>
  <si>
    <t xml:space="preserve"> f_measure</t>
  </si>
  <si>
    <t xml:space="preserve"> 1 is precision</t>
  </si>
  <si>
    <t xml:space="preserve"> 2 is precision</t>
  </si>
  <si>
    <t xml:space="preserve"> 3 is precision</t>
  </si>
  <si>
    <t xml:space="preserve"> 4 is precision</t>
  </si>
  <si>
    <t xml:space="preserve"> 5 is precision</t>
  </si>
  <si>
    <t>INTC</t>
  </si>
  <si>
    <t>Tech-Group-AVG</t>
  </si>
  <si>
    <t>0 is precision</t>
  </si>
  <si>
    <t>1 is precision</t>
  </si>
  <si>
    <t>2 is precision</t>
  </si>
  <si>
    <t>3 is precision</t>
  </si>
  <si>
    <t>4 is precision</t>
  </si>
  <si>
    <t>5 is precision</t>
  </si>
  <si>
    <t>TunedRF</t>
  </si>
  <si>
    <t>TunedDT</t>
  </si>
  <si>
    <t>announce_eval_settings() -&gt; use_feature_extraction=True, use_tuning=True</t>
  </si>
  <si>
    <t>get_tscv_confusion_metrics() -&gt; Result on stock=AAPL, horizon=0 is precision=0.5120593692022264, recall=0.47018739352640543, f_measure=0.4902309058614565</t>
  </si>
  <si>
    <t>get_tscv_confusion_metrics() -&gt; Result on stock=AAPL, horizon=1 is precision=0.539714867617108, recall=0.41732283464566927, f_measure=0.4706927175843695</t>
  </si>
  <si>
    <t>get_tscv_confusion_metrics() -&gt; Result on stock=AAPL, horizon=2 is precision=0.620414673046252, recall=0.5938931297709924, f_measure=0.6068642745709828</t>
  </si>
  <si>
    <t>get_tscv_confusion_metrics() -&gt; Result on stock=AAPL, horizon=3 is precision=0.6887550200803213, recall=0.4935251798561151, f_measure=0.5750209555741828</t>
  </si>
  <si>
    <t>get_tscv_confusion_metrics() -&gt; Result on stock=AAPL, horizon=4 is precision=0.6967213114754098, recall=0.6382978723404256, f_measure=0.6662312214239059</t>
  </si>
  <si>
    <t>get_tscv_confusion_metrics() -&gt; Result on stock=AAPL, horizon=5 is precision=0.750332005312085, recall=0.8586626139817629, f_measure=0.8008504606661943</t>
  </si>
  <si>
    <t>get_tscv_confusion_metrics() -&gt; Result on stock=AMZN, horizon=0 is precision=0.519434628975265, recall=0.4803921568627451, f_measure=0.4991511035653651</t>
  </si>
  <si>
    <t>get_tscv_confusion_metrics() -&gt; Result on stock=AMZN, horizon=1 is precision=0.5764925373134329, recall=0.46119402985074626, f_measure=0.5124378109452736</t>
  </si>
  <si>
    <t>get_tscv_confusion_metrics() -&gt; Result on stock=AMZN, horizon=2 is precision=0.5873983739837398, recall=0.42066957787481807, f_measure=0.49024597116200175</t>
  </si>
  <si>
    <t>get_tscv_confusion_metrics() -&gt; Result on stock=AMZN, horizon=3 is precision=0.6300813008130082, recall=0.41278295605858856, f_measure=0.4987932421560741</t>
  </si>
  <si>
    <t>get_tscv_confusion_metrics() -&gt; Result on stock=AMZN, horizon=4 is precision=0.7097288676236044, recall=0.596514745308311, f_measure=0.6482155863073562</t>
  </si>
  <si>
    <t>get_tscv_confusion_metrics() -&gt; Result on stock=AMZN, horizon=5 is precision=0.8695652173913043, recall=0.6716417910447762, f_measure=0.7578947368421053</t>
  </si>
  <si>
    <t>get_tscv_confusion_metrics() -&gt; Result on stock=CSCO, horizon=0 is precision=0.5265225933202358, recall=0.4589041095890411, f_measure=0.49039341262580055</t>
  </si>
  <si>
    <t>get_tscv_confusion_metrics() -&gt; Result on stock=CSCO, horizon=1 is precision=0.6, recall=0.423861852433281, f_measure=0.49678012879484823</t>
  </si>
  <si>
    <t>get_tscv_confusion_metrics() -&gt; Result on stock=CSCO, horizon=2 is precision=0.497131931166348, recall=0.41533546325878595, f_measure=0.4525674499564839</t>
  </si>
  <si>
    <t>get_tscv_confusion_metrics() -&gt; Result on stock=CSCO, horizon=3 is precision=0.5921787709497207, recall=0.5031645569620253, f_measure=0.5440547476475621</t>
  </si>
  <si>
    <t>get_tscv_confusion_metrics() -&gt; Result on stock=CSCO, horizon=4 is precision=0.6235093696763203, recall=0.5251076040172167, f_measure=0.5700934579439253</t>
  </si>
  <si>
    <t>get_tscv_confusion_metrics() -&gt; Result on stock=CSCO, horizon=5 is precision=0.8438880706921944, recall=0.7650200267022697, f_measure=0.8025210084033613</t>
  </si>
  <si>
    <t>get_tscv_confusion_metrics() -&gt; Result on stock=GE, horizon=0 is precision=0.4662576687116564, recall=0.5567765567765568, f_measure=0.5075125208681136</t>
  </si>
  <si>
    <t>get_tscv_confusion_metrics() -&gt; Result on stock=GE, horizon=1 is precision=0.4272300469483568, recall=0.3427495291902072, f_measure=0.3803552769070011</t>
  </si>
  <si>
    <t>get_tscv_confusion_metrics() -&gt; Result on stock=GE, horizon=2 is precision=0.44427001569858715, recall=0.5516569200779727, f_measure=0.49217391304347824</t>
  </si>
  <si>
    <t>get_tscv_confusion_metrics() -&gt; Result on stock=GE, horizon=3 is precision=0.47368421052631576, recall=0.5658153241650294, f_measure=0.5156669650850493</t>
  </si>
  <si>
    <t>get_tscv_confusion_metrics() -&gt; Result on stock=GE, horizon=4 is precision=0.5133333333333333, recall=0.8461538461538461, f_measure=0.6390041493775934</t>
  </si>
  <si>
    <t>get_tscv_confusion_metrics() -&gt; Result on stock=GE, horizon=5 is precision=0.4940239043824701, recall=0.5177453027139874, f_measure=0.5056065239551478</t>
  </si>
  <si>
    <t>get_tscv_confusion_metrics() -&gt; Result on stock=GOOGL, horizon=0 is precision=0.5657620041753654, recall=0.4546979865771812, f_measure=0.5041860465116279</t>
  </si>
  <si>
    <t>get_tscv_confusion_metrics() -&gt; Result on stock=GOOGL, horizon=1 is precision=0.5818476499189628, recall=0.5635792778649922, f_measure=0.5725677830940988</t>
  </si>
  <si>
    <t>get_tscv_confusion_metrics() -&gt; Result on stock=GOOGL, horizon=2 is precision=0.5491573033707865, recall=0.5951293759512938, f_measure=0.5712198685171658</t>
  </si>
  <si>
    <t>get_tscv_confusion_metrics() -&gt; Result on stock=GOOGL, horizon=3 is precision=0.6474694589877836, recall=0.5392441860465116, f_measure=0.5884218873909595</t>
  </si>
  <si>
    <t>get_tscv_confusion_metrics() -&gt; Result on stock=GOOGL, horizon=4 is precision=0.7180616740088106, recall=0.6717032967032966, f_measure=0.6941092973740242</t>
  </si>
  <si>
    <t>get_tscv_confusion_metrics() -&gt; Result on stock=GOOGL, horizon=5 is precision=0.9278846153846154, recall=0.7618421052631579, f_measure=0.8367052023121387</t>
  </si>
  <si>
    <t>get_tscv_confusion_metrics() -&gt; Result on stock=HP, horizon=0 is precision=0.4736, recall=0.5220458553791887, f_measure=0.4966442953020134</t>
  </si>
  <si>
    <t>get_tscv_confusion_metrics() -&gt; Result on stock=HP, horizon=1 is precision=0.47877758913412566, recall=0.4912891986062718, f_measure=0.4849527085124678</t>
  </si>
  <si>
    <t>get_tscv_confusion_metrics() -&gt; Result on stock=HP, horizon=2 is precision=0.5086071987480438, recall=0.5593803786574871, f_measure=0.5327868852459017</t>
  </si>
  <si>
    <t>get_tscv_confusion_metrics() -&gt; Result on stock=HP, horizon=3 is precision=0.42771084337349397, recall=0.4956369982547993, f_measure=0.45917542441390463</t>
  </si>
  <si>
    <t>get_tscv_confusion_metrics() -&gt; Result on stock=HP, horizon=4 is precision=0.5879765395894428, recall=0.699825479930192, f_measure=0.6390438247011951</t>
  </si>
  <si>
    <t>get_tscv_confusion_metrics() -&gt; Result on stock=HP, horizon=5 is precision=0.45222929936305734, recall=0.7052980132450332, f_measure=0.5510996119016818</t>
  </si>
  <si>
    <t>get_tscv_confusion_metrics() -&gt; Result on stock=IBM, horizon=0 is precision=0.5026455026455027, recall=0.5035335689045937, f_measure=0.5030891438658428</t>
  </si>
  <si>
    <t>get_tscv_confusion_metrics() -&gt; Result on stock=IBM, horizon=1 is precision=0.5016339869281046, recall=0.552158273381295, f_measure=0.5256849315068494</t>
  </si>
  <si>
    <t>get_tscv_confusion_metrics() -&gt; Result on stock=IBM, horizon=2 is precision=0.49002217294900224, recall=0.4100185528756957, f_measure=0.44646464646464645</t>
  </si>
  <si>
    <t>get_tscv_confusion_metrics() -&gt; Result on stock=IBM, horizon=3 is precision=0.4876237623762376, recall=0.3724007561436673, f_measure=0.42229367631296894</t>
  </si>
  <si>
    <t>get_tscv_confusion_metrics() -&gt; Result on stock=IBM, horizon=4 is precision=0.5869565217391305, recall=0.7458563535911602, f_measure=0.6569343065693432</t>
  </si>
  <si>
    <t>get_tscv_confusion_metrics() -&gt; Result on stock=IBM, horizon=5 is precision=0.3706140350877193, recall=0.6079136690647482, f_measure=0.4604904632152589</t>
  </si>
  <si>
    <t>get_tscv_confusion_metrics() -&gt; Result on stock=INTC, horizon=0 is precision=0.5476190476190477, recall=0.5384615384615384, f_measure=0.5430016863406407</t>
  </si>
  <si>
    <t>get_tscv_confusion_metrics() -&gt; Result on stock=INTC, horizon=1 is precision=0.5509893455098934, recall=0.5848142164781907, f_measure=0.567398119122257</t>
  </si>
  <si>
    <t>get_tscv_confusion_metrics() -&gt; Result on stock=INTC, horizon=2 is precision=0.599647266313933, recall=0.5362776025236593, f_measure=0.5661948376353039</t>
  </si>
  <si>
    <t>get_tscv_confusion_metrics() -&gt; Result on stock=INTC, horizon=3 is precision=0.6084452975047985, recall=0.48545176110260335, f_measure=0.5400340715502556</t>
  </si>
  <si>
    <t>get_tscv_confusion_metrics() -&gt; Result on stock=INTC, horizon=4 is precision=0.6080645161290322, recall=0.5643712574850299, f_measure=0.5854037267080744</t>
  </si>
  <si>
    <t>get_tscv_confusion_metrics() -&gt; Result on stock=INTC, horizon=5 is precision=0.6654632972322503, recall=0.8507692307692307, f_measure=0.7467927076299797</t>
  </si>
  <si>
    <t>get_tscv_confusion_metrics() -&gt; Result on stock=MSFT, horizon=0 is precision=0.5294117647058824, recall=0.3993174061433447, f_measure=0.45525291828793774</t>
  </si>
  <si>
    <t>get_tscv_confusion_metrics() -&gt; Result on stock=MSFT, horizon=1 is precision=0.6499189627228525, recall=0.6039156626506024, f_measure=0.6260733801717409</t>
  </si>
  <si>
    <t>get_tscv_confusion_metrics() -&gt; Result on stock=MSFT, horizon=2 is precision=0.6875, recall=0.44573082489146165, f_measure=0.5408252853380159</t>
  </si>
  <si>
    <t>get_tscv_confusion_metrics() -&gt; Result on stock=MSFT, horizon=3 is precision=0.7940594059405941, recall=0.5318302387267905, f_measure=0.6370135027799843</t>
  </si>
  <si>
    <t>get_tscv_confusion_metrics() -&gt; Result on stock=MSFT, horizon=4 is precision=0.784370477568741, recall=0.6383981154299175, f_measure=0.7038961038961038</t>
  </si>
  <si>
    <t>get_tscv_confusion_metrics() -&gt; Result on stock=MSFT, horizon=5 is precision=0.9502824858757062, recall=0.9917452830188679, f_measure=0.9705712637045585</t>
  </si>
  <si>
    <t>get_tscv_confusion_metrics() -&gt; Result on stock=WU, horizon=0 is precision=0.5238095238095238, recall=0.5256637168141592, f_measure=0.5247349823321554</t>
  </si>
  <si>
    <t>get_tscv_confusion_metrics() -&gt; Result on stock=WU, horizon=1 is precision=0.5263157894736842, recall=0.5527638190954773, f_measure=0.5392156862745098</t>
  </si>
  <si>
    <t>get_tscv_confusion_metrics() -&gt; Result on stock=WU, horizon=2 is precision=0.5338253382533825, recall=0.7444253859348199, f_measure=0.6217765042979942</t>
  </si>
  <si>
    <t>get_tscv_confusion_metrics() -&gt; Result on stock=WU, horizon=3 is precision=0.5056726094003241, recall=0.5531914893617021, f_measure=0.5283657917019474</t>
  </si>
  <si>
    <t>get_tscv_confusion_metrics() -&gt; Result on stock=WU, horizon=4 is precision=0.4934823091247672, recall=0.488929889298893, f_measure=0.4911955514365153</t>
  </si>
  <si>
    <t>get_tscv_confusion_metrics() -&gt; Result on stock=WU, horizon=5 is precision=0.5402504472271914, recall=0.5841392649903289, f_measure=0.5613382899628252</t>
  </si>
  <si>
    <t>get_tscv_confusion_metrics() -&gt; Result on stock=XRX, horizon=0 is precision=0.5127055306427504, recall=0.6038732394366197, f_measure=0.5545675020210186</t>
  </si>
  <si>
    <t>get_tscv_confusion_metrics() -&gt; Result on stock=XRX, horizon=1 is precision=0.5349794238683128, recall=0.636215334420881, f_measure=0.5812220566318927</t>
  </si>
  <si>
    <t>get_tscv_confusion_metrics() -&gt; Result on stock=XRX, horizon=2 is precision=0.5473684210526316, recall=0.8609271523178808, f_measure=0.6692406692406693</t>
  </si>
  <si>
    <t>get_tscv_confusion_metrics() -&gt; Result on stock=XRX, horizon=3 is precision=0.5572327044025157, recall=0.7226753670473083, f_measure=0.6292613636363635</t>
  </si>
  <si>
    <t>get_tscv_confusion_metrics() -&gt; Result on stock=XRX, horizon=4 is precision=0.4670750382848392, recall=0.6262833675564682, f_measure=0.5350877192982456</t>
  </si>
  <si>
    <t>get_tscv_confusion_metrics() -&gt; Result on stock=XRX, horizon=5 is precision=0.40301724137931033, recall=0.827433628318584, f_measure=0.5420289855072463</t>
  </si>
  <si>
    <t>get_tscv_confusion_metrics() -&gt; Result on stock=Tech-Group-AVG, horizon=0 is precision=0.5142672900209576, recall=0.5003921568627451, f_measure=0.5072348545078709</t>
  </si>
  <si>
    <t>get_tscv_confusion_metrics() -&gt; Result on stock=Tech-Group-AVG, horizon=1 is precision=0.5443237285466855, recall=0.5134412594682906, f_measure=0.5284316722714766</t>
  </si>
  <si>
    <t>get_tscv_confusion_metrics() -&gt; Result on stock=Tech-Group-AVG, horizon=2 is precision=0.5481848665986295, recall=0.5553914327917282, f_measure=0.5517646195612297</t>
  </si>
  <si>
    <t>get_tscv_confusion_metrics() -&gt; Result on stock=Tech-Group-AVG, horizon=3 is precision=0.5767621499839073, recall=0.5148685533687688, f_measure=0.5440607210626186</t>
  </si>
  <si>
    <t>get_tscv_confusion_metrics() -&gt; Result on stock=Tech-Group-AVG, horizon=4 is precision=0.6193103448275862, recall=0.6335543953718076, f_measure=0.6263513984794588</t>
  </si>
  <si>
    <t>get_tscv_confusion_metrics() -&gt; Result on stock=Tech-Group-AVG, horizon=5 is precision=0.6968590211833455, recall=0.7606442353691596, f_measure=0.7273559011893871</t>
  </si>
  <si>
    <t>6.3 Dummy  Values</t>
  </si>
  <si>
    <t>6.3 DT Values</t>
  </si>
  <si>
    <t>6.3 RF Values</t>
  </si>
  <si>
    <t>6.3 DT Tuned Val</t>
  </si>
  <si>
    <t>6.3 RF Tuned Val</t>
  </si>
  <si>
    <t>E</t>
  </si>
  <si>
    <t>G</t>
  </si>
  <si>
    <t>I</t>
  </si>
  <si>
    <t>DT=Decision Tree, RF=Random Forest</t>
  </si>
  <si>
    <t>get_tscv_confusion_metrics() -&gt; Result on stock=AAPL, horizon=0 is precision=0.5111561866125761, recall=0.4293015332197615, f_measure=0.4666666666666667</t>
  </si>
  <si>
    <t>get_tscv_confusion_metrics() -&gt; Result on stock=AAPL, horizon=1 is precision=0.5383141762452107, recall=0.44251968503937006, f_measure=0.48573898012100253</t>
  </si>
  <si>
    <t>get_tscv_confusion_metrics() -&gt; Result on stock=AAPL, horizon=2 is precision=0.5496323529411765, recall=0.45648854961832064, f_measure=0.4987489574645539</t>
  </si>
  <si>
    <t>get_tscv_confusion_metrics() -&gt; Result on stock=AAPL, horizon=3 is precision=0.6149425287356322, recall=0.6158273381294964, f_measure=0.6153846153846153</t>
  </si>
  <si>
    <t>get_tscv_confusion_metrics() -&gt; Result on stock=AAPL, horizon=4 is precision=0.6666666666666666, recall=0.5056320400500626, f_measure=0.5750889679715302</t>
  </si>
  <si>
    <t>get_tscv_confusion_metrics() -&gt; Result on stock=AAPL, horizon=5 is precision=0.8240343347639485, recall=0.8753799392097265, f_measure=0.8489314664701547</t>
  </si>
  <si>
    <t>get_tscv_confusion_metrics() -&gt; Result on stock=AMZN, horizon=0 is precision=0.5241157556270096, recall=0.5326797385620915, f_measure=0.5283630470016207</t>
  </si>
  <si>
    <t>get_tscv_confusion_metrics() -&gt; Result on stock=AMZN, horizon=1 is precision=0.5528913963328632, recall=0.5850746268656717, f_measure=0.5685279187817259</t>
  </si>
  <si>
    <t>get_tscv_confusion_metrics() -&gt; Result on stock=AMZN, horizon=2 is precision=0.5726256983240223, recall=0.5967976710334789, f_measure=0.5844618674269423</t>
  </si>
  <si>
    <t>get_tscv_confusion_metrics() -&gt; Result on stock=AMZN, horizon=3 is precision=0.6009174311926605, recall=0.5233022636484687, f_measure=0.5594306049822063</t>
  </si>
  <si>
    <t>get_tscv_confusion_metrics() -&gt; Result on stock=AMZN, horizon=4 is precision=0.6591251885369532, recall=0.5857908847184986, f_measure=0.6202980837473385</t>
  </si>
  <si>
    <t>get_tscv_confusion_metrics() -&gt; Result on stock=AMZN, horizon=5 is precision=0.8854748603351955, recall=0.7885572139303483, f_measure=0.8342105263157894</t>
  </si>
  <si>
    <t>get_tscv_confusion_metrics() -&gt; Result on stock=CSCO, horizon=0 is precision=0.48760330578512395, recall=0.4041095890410959, f_measure=0.44194756554307113</t>
  </si>
  <si>
    <t>get_tscv_confusion_metrics() -&gt; Result on stock=CSCO, horizon=1 is precision=0.5604075691411936, recall=0.6043956043956044, f_measure=0.581570996978852</t>
  </si>
  <si>
    <t>get_tscv_confusion_metrics() -&gt; Result on stock=CSCO, horizon=2 is precision=0.51010101010101, recall=0.3226837060702875, f_measure=0.3953033268101761</t>
  </si>
  <si>
    <t>get_tscv_confusion_metrics() -&gt; Result on stock=CSCO, horizon=3 is precision=0.5209580838323353, recall=0.4129746835443038, f_measure=0.46072374227714036</t>
  </si>
  <si>
    <t>get_tscv_confusion_metrics() -&gt; Result on stock=CSCO, horizon=4 is precision=0.7558386411889597, recall=0.5107604017216643, f_measure=0.6095890410958904</t>
  </si>
  <si>
    <t>get_tscv_confusion_metrics() -&gt; Result on stock=CSCO, horizon=5 is precision=0.8474295190713101, recall=0.6822429906542056, f_measure=0.7559171597633136</t>
  </si>
  <si>
    <t>get_tscv_confusion_metrics() -&gt; Result on stock=GE, horizon=0 is precision=0.46689895470383275, recall=0.4908424908424908, f_measure=0.47857142857142854</t>
  </si>
  <si>
    <t>get_tscv_confusion_metrics() -&gt; Result on stock=GE, horizon=1 is precision=0.47564935064935066, recall=0.551789077212806, f_measure=0.5108979947689625</t>
  </si>
  <si>
    <t>get_tscv_confusion_metrics() -&gt; Result on stock=GE, horizon=2 is precision=0.4537953795379538, recall=0.5360623781676414, f_measure=0.49151027703306527</t>
  </si>
  <si>
    <t>get_tscv_confusion_metrics() -&gt; Result on stock=GE, horizon=3 is precision=0.45395799676898224, recall=0.5520628683693517, f_measure=0.4982269503546099</t>
  </si>
  <si>
    <t>get_tscv_confusion_metrics() -&gt; Result on stock=GE, horizon=4 is precision=0.5393634840871022, recall=0.7076923076923077, f_measure=0.6121673003802282</t>
  </si>
  <si>
    <t>get_tscv_confusion_metrics() -&gt; Result on stock=GE, horizon=5 is precision=0.4914965986394558, recall=0.6033402922755741, f_measure=0.5417057169634489</t>
  </si>
  <si>
    <t>get_tscv_confusion_metrics() -&gt; Result on stock=GOOGL, horizon=0 is precision=0.5101351351351351, recall=0.5067114093959731, f_measure=0.5084175084175083</t>
  </si>
  <si>
    <t>get_tscv_confusion_metrics() -&gt; Result on stock=GOOGL, horizon=1 is precision=0.5408496732026143, recall=0.5196232339089482, f_measure=0.5300240192153722</t>
  </si>
  <si>
    <t>get_tscv_confusion_metrics() -&gt; Result on stock=GOOGL, horizon=2 is precision=0.6, recall=0.502283105022831, f_measure=0.5468102734051367</t>
  </si>
  <si>
    <t>get_tscv_confusion_metrics() -&gt; Result on stock=GOOGL, horizon=3 is precision=0.6031294452347084, recall=0.6162790697674418, f_measure=0.6096333572969086</t>
  </si>
  <si>
    <t>get_tscv_confusion_metrics() -&gt; Result on stock=GOOGL, horizon=4 is precision=0.6713395638629284, recall=0.592032967032967, f_measure=0.6291970802919709</t>
  </si>
  <si>
    <t>get_tscv_confusion_metrics() -&gt; Result on stock=GOOGL, horizon=5 is precision=0.9330422125181951, recall=0.843421052631579, f_measure=0.8859709744298548</t>
  </si>
  <si>
    <t>get_tscv_confusion_metrics() -&gt; Result on stock=HP, horizon=0 is precision=0.5007610350076104, recall=0.5802469135802469, f_measure=0.5375816993464053</t>
  </si>
  <si>
    <t>get_tscv_confusion_metrics() -&gt; Result on stock=HP, horizon=1 is precision=0.5027932960893855, recall=0.627177700348432, f_measure=0.5581395348837209</t>
  </si>
  <si>
    <t>get_tscv_confusion_metrics() -&gt; Result on stock=HP, horizon=2 is precision=0.46153846153846156, recall=0.5060240963855421, f_measure=0.4827586206896552</t>
  </si>
  <si>
    <t>get_tscv_confusion_metrics() -&gt; Result on stock=HP, horizon=3 is precision=0.47802197802197804, recall=0.6073298429319371, f_measure=0.5349730976172176</t>
  </si>
  <si>
    <t>get_tscv_confusion_metrics() -&gt; Result on stock=HP, horizon=4 is precision=0.5853080568720379, recall=0.8621291448516579, f_measure=0.6972477064220183</t>
  </si>
  <si>
    <t>get_tscv_confusion_metrics() -&gt; Result on stock=HP, horizon=5 is precision=0.3453355155482815, recall=0.6986754966887417, f_measure=0.46221248630887185</t>
  </si>
  <si>
    <t>get_tscv_confusion_metrics() -&gt; Result on stock=IBM, horizon=0 is precision=0.4919786096256685, recall=0.4876325088339223, f_measure=0.489795918367347</t>
  </si>
  <si>
    <t>get_tscv_confusion_metrics() -&gt; Result on stock=IBM, horizon=1 is precision=0.5072463768115942, recall=0.5665467625899281, f_measure=0.5352591333899746</t>
  </si>
  <si>
    <t>get_tscv_confusion_metrics() -&gt; Result on stock=IBM, horizon=2 is precision=0.42323651452282157, recall=0.3784786641929499, f_measure=0.39960822722820766</t>
  </si>
  <si>
    <t>get_tscv_confusion_metrics() -&gt; Result on stock=IBM, horizon=3 is precision=0.4369747899159664, recall=0.2948960302457467, f_measure=0.35214446952595935</t>
  </si>
  <si>
    <t>get_tscv_confusion_metrics() -&gt; Result on stock=IBM, horizon=4 is precision=0.4845505617977528, recall=0.6353591160220995, f_measure=0.5498007968127491</t>
  </si>
  <si>
    <t>get_tscv_confusion_metrics() -&gt; Result on stock=IBM, horizon=5 is precision=0.49538461538461537, recall=0.579136690647482, f_measure=0.5339966832504146</t>
  </si>
  <si>
    <t>get_tscv_confusion_metrics() -&gt; Result on stock=INTC, horizon=0 is precision=0.540453074433657, recall=0.5585284280936454, f_measure=0.5493421052631579</t>
  </si>
  <si>
    <t>get_tscv_confusion_metrics() -&gt; Result on stock=INTC, horizon=1 is precision=0.564748201438849, recall=0.5072697899838449, f_measure=0.5344680851063829</t>
  </si>
  <si>
    <t>get_tscv_confusion_metrics() -&gt; Result on stock=INTC, horizon=2 is precision=0.5701754385964912, recall=0.41009463722397477, f_measure=0.47706422018348627</t>
  </si>
  <si>
    <t>get_tscv_confusion_metrics() -&gt; Result on stock=INTC, horizon=3 is precision=0.5819209039548022, recall=0.47320061255742724, f_measure=0.5219594594594594</t>
  </si>
  <si>
    <t>get_tscv_confusion_metrics() -&gt; Result on stock=INTC, horizon=4 is precision=0.65814696485623, recall=0.6167664670658682, f_measure=0.6367851622874806</t>
  </si>
  <si>
    <t>get_tscv_confusion_metrics() -&gt; Result on stock=INTC, horizon=5 is precision=0.6405594405594406, recall=0.7046153846153846, f_measure=0.6710622710622711</t>
  </si>
  <si>
    <t>get_tscv_confusion_metrics() -&gt; Result on stock=MSFT, horizon=0 is precision=0.5279187817258884, recall=0.35494880546075086, f_measure=0.4244897959183674</t>
  </si>
  <si>
    <t>get_tscv_confusion_metrics() -&gt; Result on stock=MSFT, horizon=1 is precision=0.6168958742632613, recall=0.47289156626506024, f_measure=0.5353793691389599</t>
  </si>
  <si>
    <t>get_tscv_confusion_metrics() -&gt; Result on stock=MSFT, horizon=2 is precision=0.7070063694267515, recall=0.48191027496382055, f_measure=0.5731497418244407</t>
  </si>
  <si>
    <t>get_tscv_confusion_metrics() -&gt; Result on stock=MSFT, horizon=3 is precision=0.7721518987341772, recall=0.5663129973474801, f_measure=0.6534047436878346</t>
  </si>
  <si>
    <t>get_tscv_confusion_metrics() -&gt; Result on stock=MSFT, horizon=4 is precision=0.8340306834030683, recall=0.7043580683156655, f_measure=0.7637292464878672</t>
  </si>
  <si>
    <t>get_tscv_confusion_metrics() -&gt; Result on stock=MSFT, horizon=5 is precision=0.9375, recall=0.9905660377358491, f_measure=0.963302752293578</t>
  </si>
  <si>
    <t>get_tscv_confusion_metrics() -&gt; Result on stock=WU, horizon=0 is precision=0.5283687943262412, recall=0.5274336283185841, f_measure=0.5279007971656333</t>
  </si>
  <si>
    <t>get_tscv_confusion_metrics() -&gt; Result on stock=WU, horizon=1 is precision=0.5244252873563219, recall=0.6113902847571189, f_measure=0.5645784996133024</t>
  </si>
  <si>
    <t>get_tscv_confusion_metrics() -&gt; Result on stock=WU, horizon=2 is precision=0.5007256894049347, recall=0.5917667238421955, f_measure=0.5424528301886792</t>
  </si>
  <si>
    <t>get_tscv_confusion_metrics() -&gt; Result on stock=WU, horizon=3 is precision=0.4387755102040816, recall=0.4574468085106383, f_measure=0.44791666666666663</t>
  </si>
  <si>
    <t>get_tscv_confusion_metrics() -&gt; Result on stock=WU, horizon=4 is precision=0.4678714859437751, recall=0.42988929889298894, f_measure=0.44807692307692304</t>
  </si>
  <si>
    <t>get_tscv_confusion_metrics() -&gt; Result on stock=WU, horizon=5 is precision=0.6294896030245747, recall=0.6441005802707931, f_measure=0.6367112810707458</t>
  </si>
  <si>
    <t>get_tscv_confusion_metrics() -&gt; Result on stock=XRX, horizon=0 is precision=0.5053435114503817, recall=0.5827464788732394, f_measure=0.5412919051512675</t>
  </si>
  <si>
    <t>get_tscv_confusion_metrics() -&gt; Result on stock=XRX, horizon=1 is precision=0.5452322738386308, recall=0.7275693311582382, f_measure=0.6233403214535291</t>
  </si>
  <si>
    <t>get_tscv_confusion_metrics() -&gt; Result on stock=XRX, horizon=2 is precision=0.5387168141592921, recall=0.8062913907284768, f_measure=0.6458885941644562</t>
  </si>
  <si>
    <t>get_tscv_confusion_metrics() -&gt; Result on stock=XRX, horizon=3 is precision=0.5741869918699187, recall=0.9216965742251223, f_measure=0.7075767063243581</t>
  </si>
  <si>
    <t>get_tscv_confusion_metrics() -&gt; Result on stock=XRX, horizon=4 is precision=0.39593301435406697, recall=0.6796714579055442, f_measure=0.5003779289493575</t>
  </si>
  <si>
    <t>get_tscv_confusion_metrics() -&gt; Result on stock=XRX, horizon=5 is precision=0.4305555555555556, recall=0.9601769911504425, f_measure=0.5945205479452056</t>
  </si>
  <si>
    <t>get_tscv_confusion_metrics() -&gt; Result on stock=Tech-Group-AVG, horizon=0 is precision=0.5085291277759897, recall=0.4956862745098039, f_measure=0.5020255778854555</t>
  </si>
  <si>
    <t>get_tscv_confusion_metrics() -&gt; Result on stock=Tech-Group-AVG, horizon=1 is precision=0.5375247805154347, recall=0.5637902866478538, f_measure=0.5503443276549475</t>
  </si>
  <si>
    <t>get_tscv_confusion_metrics() -&gt; Result on stock=Tech-Group-AVG, horizon=2 is precision=0.5330956440861881, recall=0.5079763663220088, f_measure=0.5202329627108387</t>
  </si>
  <si>
    <t>get_tscv_confusion_metrics() -&gt; Result on stock=Tech-Group-AVG, horizon=3 is precision=0.5568411917847845, recall=0.5530814538141071, f_measure=0.554954954954955</t>
  </si>
  <si>
    <t>get_tscv_confusion_metrics() -&gt; Result on stock=Tech-Group-AVG, horizon=4 is precision=0.6049639489739324, recall=0.6156342599125159, f_measure=0.6102524652073572</t>
  </si>
  <si>
    <t>get_tscv_confusion_metrics() -&gt; Result on stock=Tech-Group-AVG, horizon=5 is precision=0.7087152626218536, recall=0.7767501195981502, f_measure=0.7411746804625684</t>
  </si>
  <si>
    <t xml:space="preserve">DT --&gt; </t>
  </si>
  <si>
    <t>https://github.com/feschu/BSc-Thesis-ML/tree/master/Plots/Feature-Importances-DT</t>
  </si>
  <si>
    <t>Graphische Auswertungen der Top10 Features pro Aktie pro liegen im GitHub Repositoy:</t>
  </si>
  <si>
    <t xml:space="preserve">RF --&gt; </t>
  </si>
  <si>
    <t>https://github.com/feschu/BSc-Thesis-ML/tree/master/Plots/Feature-Importances-RF</t>
  </si>
  <si>
    <t>announce_eval_settings() -&gt; g_plot_folder=na</t>
  </si>
  <si>
    <t>get_tscv_tuned_params() -&gt; Stock=Datasets/Kaggle_SnP500_AAPL_2013-2018.csv</t>
  </si>
  <si>
    <t>get_tscv_tuned_params() -&gt; Horizon_Index=0</t>
  </si>
  <si>
    <t>tune_random_forest() -&gt; best params: {'min_samples_leaf': 3, 'max_depth': 3}</t>
  </si>
  <si>
    <t>tune_random_forest() -&gt; best params: {'min_samples_leaf': 13, 'max_depth': 11}</t>
  </si>
  <si>
    <t>tune_random_forest() -&gt; best params: {'min_samples_leaf': 13, 'max_depth': 3}</t>
  </si>
  <si>
    <t>tune_random_forest() -&gt; best params: {'min_samples_leaf': 19, 'max_depth': 3}</t>
  </si>
  <si>
    <t>tune_random_forest() -&gt; best params: {'min_samples_leaf': 13, 'max_depth': 7}</t>
  </si>
  <si>
    <t>get_tscv_tuned_params() -&gt; Horizon_Index=1</t>
  </si>
  <si>
    <t>tune_random_forest() -&gt; best params: {'min_samples_leaf': 3, 'max_depth': 11}</t>
  </si>
  <si>
    <t>get_tscv_tuned_params() -&gt; Horizon_Index=2</t>
  </si>
  <si>
    <t>tune_random_forest() -&gt; best params: {'min_samples_leaf': 3, 'max_depth': 7}</t>
  </si>
  <si>
    <t>get_tscv_tuned_params() -&gt; Horizon_Index=3</t>
  </si>
  <si>
    <t>get_tscv_tuned_params() -&gt; Horizon_Index=4</t>
  </si>
  <si>
    <t>get_tscv_tuned_params() -&gt; Horizon_Index=5</t>
  </si>
  <si>
    <t>tune_random_forest() -&gt; best params: {'min_samples_leaf': 19, 'max_depth': 7}</t>
  </si>
  <si>
    <t>get_tscv_tuned_params() -&gt; Stock=Datasets/Kaggle_SnP500_AMZN_2013-2018.csv</t>
  </si>
  <si>
    <t>tune_random_forest() -&gt; best params: {'min_samples_leaf': 19, 'max_depth': 11}</t>
  </si>
  <si>
    <t>get_tscv_tuned_params() -&gt; Stock=Datasets/Kaggle_SnP500_CSCO_2013-2018.csv</t>
  </si>
  <si>
    <t>get_tscv_tuned_params() -&gt; Stock=Datasets/Kaggle_SnP500_GE_2013-2018.csv</t>
  </si>
  <si>
    <t>get_tscv_tuned_params() -&gt; Stock=Datasets/Kaggle_SnP500_GOOGL_2013-2018.csv</t>
  </si>
  <si>
    <t>get_tscv_tuned_params() -&gt; Stock=Datasets/Kaggle_SnP500_HP_2013-2018.csv</t>
  </si>
  <si>
    <t>get_tscv_tuned_params() -&gt; Stock=Datasets/Kaggle_SnP500_IBM_2013-2018.csv</t>
  </si>
  <si>
    <t>get_tscv_tuned_params() -&gt; Stock=Datasets/Kaggle_SnP500_INTC_2013-2018.csv</t>
  </si>
  <si>
    <t>get_tscv_tuned_params() -&gt; Stock=Datasets/Kaggle_SnP500_MSFT_2013-2018.csv</t>
  </si>
  <si>
    <t>get_tscv_tuned_params() -&gt; Stock=Datasets/Kaggle_SnP500_WU_2013-2018.csv</t>
  </si>
  <si>
    <t>get_tscv_tuned_params() -&gt; Stock=Datasets/Kaggle_SnP500_XRX_2013-2018.csv</t>
  </si>
  <si>
    <t>Quelle: Jupyter Notebook, Zelle 6.5 (Stand: 02.11.2019)</t>
  </si>
  <si>
    <t>tune_decision_tree() -&gt; best params: {'min_samples_split': 15, 'min_samples_leaf': 3, 'max_features': 11, 'max_depth': 11}</t>
  </si>
  <si>
    <t>tune_decision_tree() -&gt; best params: {'min_samples_split': 3, 'min_samples_leaf': 1, 'max_features': 5, 'max_depth': 11}</t>
  </si>
  <si>
    <t>tune_decision_tree() -&gt; best params: {'min_samples_split': 5, 'min_samples_leaf': 5, 'max_features': 11, 'max_depth': 3}</t>
  </si>
  <si>
    <t>tune_decision_tree() -&gt; best params: {'min_samples_split': 7, 'min_samples_leaf': 29, 'max_features': 15, 'max_depth': 15}</t>
  </si>
  <si>
    <t>tune_decision_tree() -&gt; best params: {'min_samples_split': 3, 'min_samples_leaf': 7, 'max_features': 11, 'max_depth': 15}</t>
  </si>
  <si>
    <t>tune_decision_tree() -&gt; best params: {'min_samples_split': 10, 'min_samples_leaf': 5, 'max_features': 9, 'max_depth': 11}</t>
  </si>
  <si>
    <t>tune_decision_tree() -&gt; best params: {'min_samples_split': 7, 'min_samples_leaf': 5, 'max_features': 11, 'max_depth': 11}</t>
  </si>
  <si>
    <t>tune_decision_tree() -&gt; best params: {'min_samples_split': 15, 'min_samples_leaf': 29, 'max_features': 3, 'max_depth': 13}</t>
  </si>
  <si>
    <t>tune_decision_tree() -&gt; best params: {'min_samples_split': 7, 'min_samples_leaf': 29, 'max_features': 9, 'max_depth': 9}</t>
  </si>
  <si>
    <t>tune_decision_tree() -&gt; best params: {'min_samples_split': 5, 'min_samples_leaf': 7, 'max_features': 15, 'max_depth': 13}</t>
  </si>
  <si>
    <t>Quelle: Jupyter Notebook, Zelle 6.4 (Stand: 02.11.2019)</t>
  </si>
  <si>
    <t>Plain Vanilla Modelle (ohne Tuning, ohne Extracted Features)</t>
  </si>
  <si>
    <t>Vanilla Modelle (ohne Tuning, mit Extracted Features)</t>
  </si>
  <si>
    <t>Tuned Modelle (mit Tuning, mit Extracted Features)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</si>
</sst>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ourier New"/>
      <family val="3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00"/>
      <name val="Courier New"/>
      <family val="3"/>
    </font>
    <font>
      <sz val="11"/>
      <color theme="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0" fillId="0" borderId="1" xfId="0" applyBorder="1"/>
    <xf numFmtId="0" fontId="0" fillId="0" borderId="2" xfId="0" applyBorder="1"/>
    <xf numFmtId="0" fontId="3" fillId="0" borderId="3" xfId="1" applyBorder="1"/>
    <xf numFmtId="0" fontId="0" fillId="4" borderId="1" xfId="0" applyFont="1" applyFill="1" applyBorder="1"/>
    <xf numFmtId="0" fontId="0" fillId="2" borderId="2" xfId="0" applyFill="1" applyBorder="1"/>
    <xf numFmtId="0" fontId="0" fillId="3" borderId="2" xfId="0" applyFill="1" applyBorder="1"/>
    <xf numFmtId="0" fontId="4" fillId="5" borderId="3" xfId="0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0" applyFont="1"/>
    <xf numFmtId="0" fontId="0" fillId="6" borderId="0" xfId="0" applyFill="1"/>
    <xf numFmtId="0" fontId="1" fillId="6" borderId="0" xfId="0" applyFont="1" applyFill="1"/>
    <xf numFmtId="0" fontId="0" fillId="6" borderId="4" xfId="0" applyFill="1" applyBorder="1"/>
    <xf numFmtId="0" fontId="1" fillId="6" borderId="4" xfId="0" applyFont="1" applyFill="1" applyBorder="1"/>
    <xf numFmtId="0" fontId="3" fillId="6" borderId="0" xfId="1" applyFill="1"/>
    <xf numFmtId="0" fontId="0" fillId="6" borderId="0" xfId="0" quotePrefix="1" applyFill="1"/>
    <xf numFmtId="0" fontId="0" fillId="0" borderId="0" xfId="0" applyBorder="1"/>
    <xf numFmtId="0" fontId="0" fillId="0" borderId="3" xfId="0" applyBorder="1"/>
    <xf numFmtId="0" fontId="3" fillId="0" borderId="2" xfId="1" applyBorder="1"/>
    <xf numFmtId="0" fontId="6" fillId="0" borderId="0" xfId="0" applyFont="1" applyAlignment="1">
      <alignment horizontal="left" vertical="center"/>
    </xf>
    <xf numFmtId="0" fontId="4" fillId="0" borderId="0" xfId="0" applyFont="1"/>
    <xf numFmtId="0" fontId="7" fillId="0" borderId="5" xfId="0" applyFont="1" applyBorder="1"/>
    <xf numFmtId="0" fontId="7" fillId="0" borderId="0" xfId="0" applyFont="1"/>
    <xf numFmtId="0" fontId="7" fillId="0" borderId="4" xfId="0" applyFont="1" applyBorder="1"/>
    <xf numFmtId="164" fontId="0" fillId="0" borderId="5" xfId="0" applyNumberFormat="1" applyBorder="1"/>
    <xf numFmtId="164" fontId="0" fillId="0" borderId="0" xfId="0" applyNumberFormat="1"/>
    <xf numFmtId="0" fontId="3" fillId="0" borderId="0" xfId="1"/>
    <xf numFmtId="0" fontId="0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feschu/BSc-Thesis-ML/blob/master/Evaluation%20of%20DT%20and%20RF%20Classifiers%20in%20the%20Financial%20Domain.ipynb" TargetMode="External"/><Relationship Id="rId1" Type="http://schemas.openxmlformats.org/officeDocument/2006/relationships/hyperlink" Target="https://github.com/feschu/BSc-Thesis-ML/tree/master/Plot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researchgate.net/publication/327298817_Random_forest_as_a_generic_framework_for_predictive_modeling_of_spatial_and_spatio-temporal_variable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hyperlink" Target="https://github.com/feschu/BSc-Thesis-ML/tree/master/Plots/Feature-Importances-RF" TargetMode="External"/><Relationship Id="rId1" Type="http://schemas.openxmlformats.org/officeDocument/2006/relationships/hyperlink" Target="https://github.com/feschu/BSc-Thesis-ML/tree/master/Plots/Feature-Importances-DT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9306F-65C1-4D78-BCBD-FC137E48178F}">
  <sheetPr codeName="Sheet1"/>
  <dimension ref="B3:B19"/>
  <sheetViews>
    <sheetView showGridLines="0" tabSelected="1" zoomScale="115" zoomScaleNormal="115" workbookViewId="0"/>
  </sheetViews>
  <sheetFormatPr defaultRowHeight="15" x14ac:dyDescent="0.25"/>
  <cols>
    <col min="1" max="1" width="7.140625" customWidth="1"/>
    <col min="2" max="2" width="140.140625" bestFit="1" customWidth="1"/>
  </cols>
  <sheetData>
    <row r="3" spans="2:2" ht="15.75" thickBot="1" x14ac:dyDescent="0.3">
      <c r="B3" s="2" t="s">
        <v>11</v>
      </c>
    </row>
    <row r="4" spans="2:2" x14ac:dyDescent="0.25">
      <c r="B4" s="3" t="s">
        <v>10</v>
      </c>
    </row>
    <row r="5" spans="2:2" x14ac:dyDescent="0.25">
      <c r="B5" s="4" t="s">
        <v>9</v>
      </c>
    </row>
    <row r="6" spans="2:2" x14ac:dyDescent="0.25">
      <c r="B6" s="4" t="s">
        <v>89</v>
      </c>
    </row>
    <row r="7" spans="2:2" ht="15.75" thickBot="1" x14ac:dyDescent="0.3">
      <c r="B7" s="5" t="s">
        <v>3</v>
      </c>
    </row>
    <row r="8" spans="2:2" ht="21.75" customHeight="1" x14ac:dyDescent="0.25"/>
    <row r="9" spans="2:2" ht="15.75" thickBot="1" x14ac:dyDescent="0.3">
      <c r="B9" s="2" t="s">
        <v>84</v>
      </c>
    </row>
    <row r="10" spans="2:2" x14ac:dyDescent="0.25">
      <c r="B10" s="3" t="s">
        <v>87</v>
      </c>
    </row>
    <row r="11" spans="2:2" x14ac:dyDescent="0.25">
      <c r="B11" s="22" t="s">
        <v>88</v>
      </c>
    </row>
    <row r="12" spans="2:2" x14ac:dyDescent="0.25">
      <c r="B12" s="4" t="s">
        <v>85</v>
      </c>
    </row>
    <row r="13" spans="2:2" ht="15.75" thickBot="1" x14ac:dyDescent="0.3">
      <c r="B13" s="21" t="s">
        <v>86</v>
      </c>
    </row>
    <row r="14" spans="2:2" ht="21.75" customHeight="1" x14ac:dyDescent="0.25"/>
    <row r="15" spans="2:2" ht="15.75" thickBot="1" x14ac:dyDescent="0.3">
      <c r="B15" s="2" t="s">
        <v>4</v>
      </c>
    </row>
    <row r="16" spans="2:2" ht="21.75" customHeight="1" x14ac:dyDescent="0.25">
      <c r="B16" s="6" t="s">
        <v>697</v>
      </c>
    </row>
    <row r="17" spans="2:2" ht="21.75" customHeight="1" x14ac:dyDescent="0.25">
      <c r="B17" s="7" t="s">
        <v>698</v>
      </c>
    </row>
    <row r="18" spans="2:2" ht="21.75" customHeight="1" x14ac:dyDescent="0.25">
      <c r="B18" s="8" t="s">
        <v>699</v>
      </c>
    </row>
    <row r="19" spans="2:2" ht="21.75" customHeight="1" thickBot="1" x14ac:dyDescent="0.3">
      <c r="B19" s="9" t="s">
        <v>83</v>
      </c>
    </row>
  </sheetData>
  <hyperlinks>
    <hyperlink ref="B7" r:id="rId1" xr:uid="{92C8CE6E-82CB-4C7B-BECC-2AA27127FDA3}"/>
    <hyperlink ref="B11" r:id="rId2" xr:uid="{E100F568-357C-49D4-BF8F-A6355A53F9A1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926AF-D792-48E9-BADE-AC863F13622E}">
  <sheetPr codeName="Sheet2">
    <tabColor theme="9" tint="-0.499984740745262"/>
  </sheetPr>
  <dimension ref="B1:H70"/>
  <sheetViews>
    <sheetView workbookViewId="0">
      <selection activeCell="B2" sqref="B2"/>
    </sheetView>
  </sheetViews>
  <sheetFormatPr defaultRowHeight="15" x14ac:dyDescent="0.25"/>
  <cols>
    <col min="1" max="1" width="2.5703125" customWidth="1"/>
    <col min="2" max="3" width="10.5703125" customWidth="1"/>
    <col min="4" max="4" width="58.85546875" customWidth="1"/>
    <col min="5" max="5" width="78.42578125" customWidth="1"/>
  </cols>
  <sheetData>
    <row r="1" spans="2:8" x14ac:dyDescent="0.25">
      <c r="B1" s="13" t="s">
        <v>40</v>
      </c>
    </row>
    <row r="3" spans="2:8" x14ac:dyDescent="0.25">
      <c r="B3" s="2" t="s">
        <v>6</v>
      </c>
      <c r="C3" s="2" t="s">
        <v>7</v>
      </c>
      <c r="D3" s="2" t="s">
        <v>5</v>
      </c>
      <c r="E3" s="2" t="s">
        <v>8</v>
      </c>
    </row>
    <row r="4" spans="2:8" x14ac:dyDescent="0.25">
      <c r="B4" t="s">
        <v>26</v>
      </c>
      <c r="C4" t="s">
        <v>26</v>
      </c>
      <c r="D4" t="s">
        <v>26</v>
      </c>
      <c r="E4" t="s">
        <v>0</v>
      </c>
    </row>
    <row r="5" spans="2:8" x14ac:dyDescent="0.25">
      <c r="B5" t="s">
        <v>26</v>
      </c>
      <c r="C5" t="s">
        <v>26</v>
      </c>
      <c r="D5" t="s">
        <v>26</v>
      </c>
      <c r="E5" t="s">
        <v>1</v>
      </c>
    </row>
    <row r="6" spans="2:8" x14ac:dyDescent="0.25">
      <c r="B6" t="s">
        <v>26</v>
      </c>
      <c r="C6" t="s">
        <v>26</v>
      </c>
      <c r="D6" t="s">
        <v>26</v>
      </c>
      <c r="E6" t="s">
        <v>2</v>
      </c>
    </row>
    <row r="11" spans="2:8" x14ac:dyDescent="0.25">
      <c r="B11" s="14" t="s">
        <v>41</v>
      </c>
      <c r="C11" s="14"/>
      <c r="D11" s="14"/>
      <c r="E11" s="14"/>
      <c r="F11" s="14"/>
      <c r="G11" s="14"/>
      <c r="H11" s="14"/>
    </row>
    <row r="12" spans="2:8" x14ac:dyDescent="0.25">
      <c r="B12" s="15" t="s">
        <v>42</v>
      </c>
      <c r="C12" s="14"/>
      <c r="D12" s="14"/>
      <c r="E12" s="14"/>
      <c r="F12" s="14"/>
      <c r="G12" s="14"/>
      <c r="H12" s="14"/>
    </row>
    <row r="13" spans="2:8" x14ac:dyDescent="0.25">
      <c r="B13" s="14" t="s">
        <v>43</v>
      </c>
      <c r="C13" s="14"/>
      <c r="D13" s="14"/>
      <c r="E13" s="14"/>
      <c r="F13" s="14"/>
      <c r="G13" s="14"/>
      <c r="H13" s="14"/>
    </row>
    <row r="14" spans="2:8" x14ac:dyDescent="0.25">
      <c r="B14" s="14" t="s">
        <v>44</v>
      </c>
      <c r="C14" s="14"/>
      <c r="D14" s="14"/>
      <c r="E14" s="14"/>
      <c r="F14" s="14"/>
      <c r="G14" s="14"/>
      <c r="H14" s="14"/>
    </row>
    <row r="15" spans="2:8" x14ac:dyDescent="0.25">
      <c r="B15" s="14" t="s">
        <v>45</v>
      </c>
      <c r="C15" s="14"/>
      <c r="D15" s="14"/>
      <c r="E15" s="14"/>
      <c r="F15" s="14"/>
      <c r="G15" s="14"/>
      <c r="H15" s="14"/>
    </row>
    <row r="16" spans="2:8" x14ac:dyDescent="0.25">
      <c r="B16" s="14" t="s">
        <v>46</v>
      </c>
      <c r="C16" s="14"/>
      <c r="D16" s="14"/>
      <c r="E16" s="14"/>
      <c r="F16" s="14"/>
      <c r="G16" s="14"/>
      <c r="H16" s="14"/>
    </row>
    <row r="17" spans="2:8" x14ac:dyDescent="0.25">
      <c r="B17" s="14"/>
      <c r="C17" s="14"/>
      <c r="D17" s="14"/>
      <c r="E17" s="14"/>
      <c r="F17" s="14"/>
      <c r="G17" s="14"/>
      <c r="H17" s="14"/>
    </row>
    <row r="18" spans="2:8" x14ac:dyDescent="0.25">
      <c r="B18" s="14" t="s">
        <v>47</v>
      </c>
      <c r="C18" s="14"/>
      <c r="D18" s="14"/>
      <c r="E18" s="14"/>
      <c r="F18" s="14"/>
      <c r="G18" s="14"/>
      <c r="H18" s="14"/>
    </row>
    <row r="19" spans="2:8" x14ac:dyDescent="0.25">
      <c r="B19" s="14"/>
      <c r="C19" s="14"/>
      <c r="D19" s="14"/>
      <c r="E19" s="14"/>
      <c r="F19" s="14"/>
      <c r="G19" s="14"/>
      <c r="H19" s="14"/>
    </row>
    <row r="20" spans="2:8" x14ac:dyDescent="0.25">
      <c r="B20" s="14" t="s">
        <v>48</v>
      </c>
      <c r="C20" s="14"/>
      <c r="D20" s="14"/>
      <c r="E20" s="14"/>
      <c r="F20" s="14"/>
      <c r="G20" s="14"/>
      <c r="H20" s="14"/>
    </row>
    <row r="21" spans="2:8" x14ac:dyDescent="0.25">
      <c r="B21" s="15" t="s">
        <v>49</v>
      </c>
      <c r="C21" s="14"/>
      <c r="D21" s="14"/>
      <c r="E21" s="14"/>
      <c r="F21" s="14"/>
      <c r="G21" s="14"/>
      <c r="H21" s="14"/>
    </row>
    <row r="22" spans="2:8" x14ac:dyDescent="0.25">
      <c r="B22" s="16" t="s">
        <v>50</v>
      </c>
      <c r="C22" s="16" t="s">
        <v>51</v>
      </c>
      <c r="D22" s="16" t="s">
        <v>52</v>
      </c>
      <c r="E22" s="16" t="s">
        <v>53</v>
      </c>
      <c r="F22" s="16" t="s">
        <v>54</v>
      </c>
      <c r="G22" s="17" t="s">
        <v>55</v>
      </c>
      <c r="H22" s="14"/>
    </row>
    <row r="23" spans="2:8" x14ac:dyDescent="0.25">
      <c r="B23" s="14" t="s">
        <v>56</v>
      </c>
      <c r="C23" s="14"/>
      <c r="D23" s="14"/>
      <c r="E23" s="14"/>
      <c r="F23" s="14"/>
      <c r="G23" s="15">
        <v>0.47</v>
      </c>
      <c r="H23" s="14"/>
    </row>
    <row r="24" spans="2:8" x14ac:dyDescent="0.25">
      <c r="B24" s="14" t="s">
        <v>57</v>
      </c>
      <c r="C24" s="14"/>
      <c r="D24" s="14"/>
      <c r="E24" s="14"/>
      <c r="F24" s="14"/>
      <c r="G24" s="15">
        <v>0.49</v>
      </c>
      <c r="H24" s="14"/>
    </row>
    <row r="25" spans="2:8" x14ac:dyDescent="0.25">
      <c r="B25" s="14"/>
      <c r="C25" s="14"/>
      <c r="D25" s="14"/>
      <c r="E25" s="14"/>
      <c r="F25" s="14"/>
      <c r="G25" s="14"/>
      <c r="H25" s="14"/>
    </row>
    <row r="26" spans="2:8" x14ac:dyDescent="0.25">
      <c r="B26" s="15" t="s">
        <v>58</v>
      </c>
      <c r="C26" s="14"/>
      <c r="D26" s="14"/>
      <c r="E26" s="14"/>
      <c r="F26" s="14"/>
      <c r="G26" s="14" t="s">
        <v>59</v>
      </c>
      <c r="H26" s="14"/>
    </row>
    <row r="27" spans="2:8" x14ac:dyDescent="0.25">
      <c r="B27" s="16" t="s">
        <v>50</v>
      </c>
      <c r="C27" s="16" t="s">
        <v>51</v>
      </c>
      <c r="D27" s="16" t="s">
        <v>52</v>
      </c>
      <c r="E27" s="16" t="s">
        <v>53</v>
      </c>
      <c r="F27" s="16" t="s">
        <v>54</v>
      </c>
      <c r="G27" s="17" t="s">
        <v>55</v>
      </c>
      <c r="H27" s="14"/>
    </row>
    <row r="28" spans="2:8" x14ac:dyDescent="0.25">
      <c r="B28" s="14" t="s">
        <v>56</v>
      </c>
      <c r="C28" s="14"/>
      <c r="D28" s="14"/>
      <c r="E28" s="14"/>
      <c r="F28" s="14"/>
      <c r="G28" s="15">
        <v>0.49399999999999999</v>
      </c>
      <c r="H28" s="14"/>
    </row>
    <row r="29" spans="2:8" x14ac:dyDescent="0.25">
      <c r="B29" s="14" t="s">
        <v>57</v>
      </c>
      <c r="C29" s="14"/>
      <c r="D29" s="14"/>
      <c r="E29" s="14"/>
      <c r="F29" s="14"/>
      <c r="G29" s="15">
        <v>0.47099999999999997</v>
      </c>
      <c r="H29" s="14"/>
    </row>
    <row r="30" spans="2:8" x14ac:dyDescent="0.25">
      <c r="B30" s="14"/>
      <c r="C30" s="14"/>
      <c r="D30" s="14"/>
      <c r="E30" s="14"/>
      <c r="F30" s="14"/>
      <c r="G30" s="15"/>
      <c r="H30" s="14"/>
    </row>
    <row r="31" spans="2:8" x14ac:dyDescent="0.25">
      <c r="B31" s="15" t="s">
        <v>60</v>
      </c>
      <c r="C31" s="14"/>
      <c r="D31" s="14"/>
      <c r="E31" s="14"/>
      <c r="F31" s="14"/>
      <c r="G31" s="14"/>
      <c r="H31" s="14"/>
    </row>
    <row r="32" spans="2:8" x14ac:dyDescent="0.25">
      <c r="B32" s="16" t="s">
        <v>50</v>
      </c>
      <c r="C32" s="16" t="s">
        <v>51</v>
      </c>
      <c r="D32" s="16" t="s">
        <v>52</v>
      </c>
      <c r="E32" s="16" t="s">
        <v>53</v>
      </c>
      <c r="F32" s="16" t="s">
        <v>54</v>
      </c>
      <c r="G32" s="17" t="s">
        <v>55</v>
      </c>
      <c r="H32" s="14"/>
    </row>
    <row r="33" spans="2:8" x14ac:dyDescent="0.25">
      <c r="B33" s="14" t="s">
        <v>56</v>
      </c>
      <c r="C33" s="14"/>
      <c r="D33" s="14"/>
      <c r="E33" s="14"/>
      <c r="F33" s="14"/>
      <c r="G33" s="15">
        <v>0.42899999999999999</v>
      </c>
      <c r="H33" s="14"/>
    </row>
    <row r="34" spans="2:8" x14ac:dyDescent="0.25">
      <c r="B34" s="14" t="s">
        <v>57</v>
      </c>
      <c r="C34" s="14"/>
      <c r="D34" s="14"/>
      <c r="E34" s="14"/>
      <c r="F34" s="14"/>
      <c r="G34" s="15">
        <v>0.60699999999999998</v>
      </c>
      <c r="H34" s="14"/>
    </row>
    <row r="35" spans="2:8" x14ac:dyDescent="0.25">
      <c r="B35" s="14"/>
      <c r="C35" s="14"/>
      <c r="D35" s="14"/>
      <c r="E35" s="14"/>
      <c r="F35" s="14"/>
      <c r="G35" s="15"/>
      <c r="H35" s="14"/>
    </row>
    <row r="36" spans="2:8" x14ac:dyDescent="0.25">
      <c r="B36" s="15" t="s">
        <v>61</v>
      </c>
      <c r="C36" s="14"/>
      <c r="D36" s="14"/>
      <c r="E36" s="14"/>
      <c r="F36" s="14"/>
      <c r="G36" s="15"/>
      <c r="H36" s="14"/>
    </row>
    <row r="37" spans="2:8" x14ac:dyDescent="0.25">
      <c r="B37" s="16" t="s">
        <v>50</v>
      </c>
      <c r="C37" s="16" t="s">
        <v>51</v>
      </c>
      <c r="D37" s="16" t="s">
        <v>52</v>
      </c>
      <c r="E37" s="16" t="s">
        <v>53</v>
      </c>
      <c r="F37" s="16" t="s">
        <v>54</v>
      </c>
      <c r="G37" s="17" t="s">
        <v>55</v>
      </c>
      <c r="H37" s="14"/>
    </row>
    <row r="38" spans="2:8" x14ac:dyDescent="0.25">
      <c r="B38" s="14" t="s">
        <v>56</v>
      </c>
      <c r="C38" s="14"/>
      <c r="D38" s="14"/>
      <c r="E38" s="14"/>
      <c r="F38" s="14"/>
      <c r="G38" s="15">
        <v>0.48799999999999999</v>
      </c>
      <c r="H38" s="14"/>
    </row>
    <row r="39" spans="2:8" x14ac:dyDescent="0.25">
      <c r="B39" s="14" t="s">
        <v>57</v>
      </c>
      <c r="C39" s="14"/>
      <c r="D39" s="14"/>
      <c r="E39" s="14"/>
      <c r="F39" s="14"/>
      <c r="G39" s="15">
        <v>0.57499999999999996</v>
      </c>
      <c r="H39" s="14"/>
    </row>
    <row r="40" spans="2:8" x14ac:dyDescent="0.25">
      <c r="B40" s="14"/>
      <c r="C40" s="14"/>
      <c r="D40" s="14"/>
      <c r="E40" s="14"/>
      <c r="F40" s="14"/>
      <c r="G40" s="15"/>
      <c r="H40" s="14"/>
    </row>
    <row r="41" spans="2:8" x14ac:dyDescent="0.25">
      <c r="B41" s="15" t="s">
        <v>62</v>
      </c>
      <c r="C41" s="14"/>
      <c r="D41" s="14"/>
      <c r="E41" s="14"/>
      <c r="F41" s="14"/>
      <c r="G41" s="15"/>
      <c r="H41" s="14"/>
    </row>
    <row r="42" spans="2:8" x14ac:dyDescent="0.25">
      <c r="B42" s="16" t="s">
        <v>50</v>
      </c>
      <c r="C42" s="16" t="s">
        <v>51</v>
      </c>
      <c r="D42" s="16" t="s">
        <v>52</v>
      </c>
      <c r="E42" s="16" t="s">
        <v>53</v>
      </c>
      <c r="F42" s="16" t="s">
        <v>54</v>
      </c>
      <c r="G42" s="17" t="s">
        <v>55</v>
      </c>
      <c r="H42" s="14"/>
    </row>
    <row r="43" spans="2:8" x14ac:dyDescent="0.25">
      <c r="B43" s="14" t="s">
        <v>56</v>
      </c>
      <c r="C43" s="14"/>
      <c r="D43" s="14"/>
      <c r="E43" s="14"/>
      <c r="F43" s="14"/>
      <c r="G43" s="15">
        <v>0.57499999999999996</v>
      </c>
      <c r="H43" s="14"/>
    </row>
    <row r="44" spans="2:8" x14ac:dyDescent="0.25">
      <c r="B44" s="14" t="s">
        <v>57</v>
      </c>
      <c r="C44" s="14"/>
      <c r="D44" s="14"/>
      <c r="E44" s="14"/>
      <c r="F44" s="14"/>
      <c r="G44" s="15">
        <v>0.66600000000000004</v>
      </c>
      <c r="H44" s="14"/>
    </row>
    <row r="45" spans="2:8" x14ac:dyDescent="0.25">
      <c r="B45" s="14"/>
      <c r="C45" s="14"/>
      <c r="D45" s="14"/>
      <c r="E45" s="14"/>
      <c r="F45" s="14"/>
      <c r="G45" s="15"/>
      <c r="H45" s="14"/>
    </row>
    <row r="46" spans="2:8" x14ac:dyDescent="0.25">
      <c r="B46" s="15" t="s">
        <v>63</v>
      </c>
      <c r="C46" s="14"/>
      <c r="D46" s="14"/>
      <c r="E46" s="14"/>
      <c r="F46" s="14"/>
      <c r="G46" s="14"/>
      <c r="H46" s="14"/>
    </row>
    <row r="47" spans="2:8" x14ac:dyDescent="0.25">
      <c r="B47" s="14"/>
      <c r="C47" s="14"/>
      <c r="D47" s="14"/>
      <c r="E47" s="14"/>
      <c r="F47" s="14"/>
      <c r="G47" s="14"/>
      <c r="H47" s="14"/>
    </row>
    <row r="48" spans="2:8" x14ac:dyDescent="0.25">
      <c r="B48" s="15" t="s">
        <v>64</v>
      </c>
      <c r="C48" s="14" t="s">
        <v>65</v>
      </c>
      <c r="D48" s="14"/>
      <c r="E48" s="14"/>
      <c r="F48" s="14"/>
      <c r="G48" s="14"/>
      <c r="H48" s="14"/>
    </row>
    <row r="49" spans="2:8" x14ac:dyDescent="0.25">
      <c r="B49" s="14"/>
      <c r="C49" s="14" t="s">
        <v>66</v>
      </c>
      <c r="D49" s="14"/>
      <c r="E49" s="14"/>
      <c r="F49" s="14"/>
      <c r="G49" s="14"/>
      <c r="H49" s="14"/>
    </row>
    <row r="50" spans="2:8" x14ac:dyDescent="0.25">
      <c r="B50" s="14"/>
      <c r="C50" s="14" t="s">
        <v>67</v>
      </c>
      <c r="D50" s="14"/>
      <c r="E50" s="14"/>
      <c r="F50" s="14"/>
      <c r="G50" s="14"/>
      <c r="H50" s="14"/>
    </row>
    <row r="51" spans="2:8" x14ac:dyDescent="0.25">
      <c r="B51" s="14"/>
      <c r="C51" s="14" t="s">
        <v>68</v>
      </c>
      <c r="D51" s="14"/>
      <c r="E51" s="14"/>
      <c r="F51" s="14"/>
      <c r="G51" s="14"/>
      <c r="H51" s="14"/>
    </row>
    <row r="52" spans="2:8" x14ac:dyDescent="0.25">
      <c r="B52" s="14"/>
      <c r="C52" s="14"/>
      <c r="D52" s="14"/>
      <c r="E52" s="14"/>
      <c r="F52" s="14"/>
      <c r="G52" s="14"/>
      <c r="H52" s="14"/>
    </row>
    <row r="53" spans="2:8" x14ac:dyDescent="0.25">
      <c r="B53" s="14"/>
      <c r="C53" s="14"/>
      <c r="D53" s="14"/>
      <c r="E53" s="14"/>
      <c r="F53" s="14"/>
      <c r="G53" s="14"/>
      <c r="H53" s="14"/>
    </row>
    <row r="54" spans="2:8" x14ac:dyDescent="0.25">
      <c r="B54" s="14" t="s">
        <v>69</v>
      </c>
      <c r="C54" s="14" t="s">
        <v>70</v>
      </c>
      <c r="D54" s="14"/>
      <c r="E54" s="14"/>
      <c r="F54" s="14"/>
      <c r="G54" s="14"/>
      <c r="H54" s="14"/>
    </row>
    <row r="55" spans="2:8" x14ac:dyDescent="0.25">
      <c r="B55" s="14" t="s">
        <v>71</v>
      </c>
      <c r="C55" s="14"/>
      <c r="D55" s="14"/>
      <c r="E55" s="14"/>
      <c r="F55" s="14"/>
      <c r="G55" s="14"/>
      <c r="H55" s="14"/>
    </row>
    <row r="56" spans="2:8" x14ac:dyDescent="0.25">
      <c r="B56" s="14"/>
      <c r="C56" s="14"/>
      <c r="D56" s="14"/>
      <c r="E56" s="14"/>
      <c r="F56" s="14"/>
      <c r="G56" s="14"/>
      <c r="H56" s="14"/>
    </row>
    <row r="57" spans="2:8" x14ac:dyDescent="0.25">
      <c r="B57" s="14"/>
      <c r="C57" s="14"/>
      <c r="D57" s="14"/>
      <c r="E57" s="14"/>
      <c r="F57" s="14"/>
      <c r="G57" s="14"/>
      <c r="H57" s="14"/>
    </row>
    <row r="58" spans="2:8" x14ac:dyDescent="0.25">
      <c r="B58" s="18" t="s">
        <v>72</v>
      </c>
      <c r="C58" s="14"/>
      <c r="D58" s="14"/>
      <c r="E58" s="14"/>
      <c r="F58" s="14"/>
      <c r="G58" s="14"/>
      <c r="H58" s="14"/>
    </row>
    <row r="59" spans="2:8" x14ac:dyDescent="0.25">
      <c r="B59" s="14" t="s">
        <v>73</v>
      </c>
      <c r="C59" s="14"/>
      <c r="D59" s="14"/>
      <c r="E59" s="14"/>
      <c r="F59" s="14"/>
      <c r="G59" s="14"/>
      <c r="H59" s="14"/>
    </row>
    <row r="60" spans="2:8" x14ac:dyDescent="0.25">
      <c r="B60" s="19" t="s">
        <v>74</v>
      </c>
      <c r="C60" s="14"/>
      <c r="D60" s="14"/>
      <c r="E60" s="14"/>
      <c r="F60" s="14"/>
      <c r="G60" s="14"/>
      <c r="H60" s="14"/>
    </row>
    <row r="61" spans="2:8" x14ac:dyDescent="0.25">
      <c r="B61" s="19" t="s">
        <v>75</v>
      </c>
      <c r="C61" s="14"/>
      <c r="D61" s="14"/>
      <c r="E61" s="14"/>
      <c r="F61" s="14"/>
      <c r="G61" s="14"/>
      <c r="H61" s="14"/>
    </row>
    <row r="62" spans="2:8" x14ac:dyDescent="0.25">
      <c r="B62" s="19" t="s">
        <v>76</v>
      </c>
      <c r="C62" s="14"/>
      <c r="D62" s="14"/>
      <c r="E62" s="14"/>
      <c r="F62" s="14"/>
      <c r="G62" s="14"/>
      <c r="H62" s="14"/>
    </row>
    <row r="63" spans="2:8" x14ac:dyDescent="0.25">
      <c r="B63" s="19" t="s">
        <v>77</v>
      </c>
      <c r="C63" s="14"/>
      <c r="D63" s="14"/>
      <c r="E63" s="14"/>
      <c r="F63" s="14"/>
      <c r="G63" s="14"/>
      <c r="H63" s="14"/>
    </row>
    <row r="64" spans="2:8" x14ac:dyDescent="0.25">
      <c r="B64" s="19" t="s">
        <v>78</v>
      </c>
      <c r="C64" s="14"/>
      <c r="D64" s="14"/>
      <c r="E64" s="14"/>
      <c r="F64" s="14"/>
      <c r="G64" s="14"/>
      <c r="H64" s="14"/>
    </row>
    <row r="65" spans="2:8" x14ac:dyDescent="0.25">
      <c r="B65" s="19" t="s">
        <v>79</v>
      </c>
      <c r="C65" s="14"/>
      <c r="D65" s="14"/>
      <c r="E65" s="14"/>
      <c r="F65" s="14"/>
      <c r="G65" s="14"/>
      <c r="H65" s="14"/>
    </row>
    <row r="66" spans="2:8" x14ac:dyDescent="0.25">
      <c r="B66" s="19"/>
      <c r="C66" s="14"/>
      <c r="D66" s="14"/>
      <c r="E66" s="14"/>
      <c r="F66" s="14"/>
      <c r="G66" s="14"/>
      <c r="H66" s="14"/>
    </row>
    <row r="67" spans="2:8" x14ac:dyDescent="0.25">
      <c r="B67" s="19" t="s">
        <v>80</v>
      </c>
      <c r="C67" s="14"/>
      <c r="D67" s="14"/>
      <c r="E67" s="14"/>
      <c r="F67" s="14"/>
      <c r="G67" s="14"/>
      <c r="H67" s="14"/>
    </row>
    <row r="68" spans="2:8" x14ac:dyDescent="0.25">
      <c r="B68" s="19" t="s">
        <v>81</v>
      </c>
      <c r="C68" s="14"/>
      <c r="D68" s="14"/>
      <c r="E68" s="14"/>
      <c r="F68" s="14"/>
      <c r="G68" s="14"/>
      <c r="H68" s="14"/>
    </row>
    <row r="69" spans="2:8" x14ac:dyDescent="0.25">
      <c r="B69" s="19"/>
      <c r="C69" s="14"/>
      <c r="D69" s="14"/>
      <c r="E69" s="14"/>
      <c r="F69" s="14"/>
      <c r="G69" s="14"/>
      <c r="H69" s="14"/>
    </row>
    <row r="70" spans="2:8" x14ac:dyDescent="0.25">
      <c r="B70" s="19" t="s">
        <v>82</v>
      </c>
      <c r="C70" s="14"/>
      <c r="D70" s="14"/>
      <c r="E70" s="14"/>
      <c r="F70" s="14"/>
      <c r="G70" s="14"/>
      <c r="H70" s="14"/>
    </row>
  </sheetData>
  <hyperlinks>
    <hyperlink ref="B58" r:id="rId1" xr:uid="{27C2F57A-944A-4CBB-8154-7F6E413F214F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DC123-BB5A-4E0C-A83E-C485CB32DCD9}">
  <sheetPr codeName="Sheet3">
    <tabColor theme="9" tint="-0.499984740745262"/>
  </sheetPr>
  <dimension ref="A1:R76"/>
  <sheetViews>
    <sheetView zoomScale="85" zoomScaleNormal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1" max="1" width="3.28515625" style="24" customWidth="1"/>
    <col min="2" max="2" width="13.5703125" customWidth="1"/>
    <col min="4" max="4" width="9.140625" style="11"/>
  </cols>
  <sheetData>
    <row r="1" spans="1:18" x14ac:dyDescent="0.25">
      <c r="A1" s="20" t="s">
        <v>580</v>
      </c>
      <c r="D1" s="25" t="s">
        <v>572</v>
      </c>
      <c r="E1" s="26" t="s">
        <v>573</v>
      </c>
      <c r="F1" s="26" t="s">
        <v>574</v>
      </c>
      <c r="G1" s="26" t="s">
        <v>575</v>
      </c>
      <c r="H1" s="26" t="s">
        <v>576</v>
      </c>
      <c r="I1" s="26" t="s">
        <v>572</v>
      </c>
      <c r="J1" s="26" t="s">
        <v>573</v>
      </c>
      <c r="K1" s="26" t="s">
        <v>574</v>
      </c>
      <c r="L1" s="26" t="s">
        <v>575</v>
      </c>
      <c r="M1" s="26" t="s">
        <v>576</v>
      </c>
      <c r="N1" s="26" t="s">
        <v>572</v>
      </c>
      <c r="O1" s="26" t="s">
        <v>573</v>
      </c>
      <c r="P1" s="26" t="s">
        <v>574</v>
      </c>
      <c r="Q1" s="26" t="s">
        <v>575</v>
      </c>
      <c r="R1" s="26" t="s">
        <v>576</v>
      </c>
    </row>
    <row r="2" spans="1:18" x14ac:dyDescent="0.25">
      <c r="A2" s="26"/>
      <c r="D2" s="25" t="s">
        <v>577</v>
      </c>
      <c r="E2" s="26" t="s">
        <v>577</v>
      </c>
      <c r="F2" s="26" t="s">
        <v>577</v>
      </c>
      <c r="G2" s="26" t="s">
        <v>577</v>
      </c>
      <c r="H2" s="26" t="s">
        <v>577</v>
      </c>
      <c r="I2" s="26" t="s">
        <v>578</v>
      </c>
      <c r="J2" s="26" t="s">
        <v>578</v>
      </c>
      <c r="K2" s="26" t="s">
        <v>578</v>
      </c>
      <c r="L2" s="26" t="s">
        <v>578</v>
      </c>
      <c r="M2" s="26" t="s">
        <v>578</v>
      </c>
      <c r="N2" s="26" t="s">
        <v>579</v>
      </c>
      <c r="O2" s="26" t="s">
        <v>579</v>
      </c>
      <c r="P2" s="26" t="s">
        <v>579</v>
      </c>
      <c r="Q2" s="26" t="s">
        <v>579</v>
      </c>
      <c r="R2" s="26" t="s">
        <v>579</v>
      </c>
    </row>
    <row r="3" spans="1:18" x14ac:dyDescent="0.25">
      <c r="A3" s="26"/>
      <c r="B3" s="2" t="s">
        <v>37</v>
      </c>
      <c r="D3" s="11" t="s">
        <v>12</v>
      </c>
      <c r="I3" t="s">
        <v>13</v>
      </c>
      <c r="N3" t="s">
        <v>14</v>
      </c>
    </row>
    <row r="4" spans="1:18" s="10" customFormat="1" x14ac:dyDescent="0.25">
      <c r="A4" s="27"/>
      <c r="B4" s="10" t="s">
        <v>38</v>
      </c>
      <c r="C4" s="10" t="s">
        <v>39</v>
      </c>
      <c r="D4" s="12" t="s">
        <v>23</v>
      </c>
      <c r="E4" s="10" t="s">
        <v>24</v>
      </c>
      <c r="F4" s="10" t="s">
        <v>25</v>
      </c>
      <c r="G4" s="10" t="s">
        <v>498</v>
      </c>
      <c r="H4" s="10" t="s">
        <v>497</v>
      </c>
      <c r="I4" s="10" t="s">
        <v>23</v>
      </c>
      <c r="J4" s="10" t="s">
        <v>24</v>
      </c>
      <c r="K4" s="10" t="s">
        <v>25</v>
      </c>
      <c r="L4" s="10" t="s">
        <v>498</v>
      </c>
      <c r="M4" s="10" t="s">
        <v>497</v>
      </c>
      <c r="N4" s="10" t="s">
        <v>23</v>
      </c>
      <c r="O4" s="10" t="s">
        <v>24</v>
      </c>
      <c r="P4" s="10" t="s">
        <v>25</v>
      </c>
      <c r="Q4" s="10" t="s">
        <v>498</v>
      </c>
      <c r="R4" s="10" t="s">
        <v>497</v>
      </c>
    </row>
    <row r="5" spans="1:18" x14ac:dyDescent="0.25">
      <c r="A5" s="26">
        <v>86</v>
      </c>
      <c r="B5" t="s">
        <v>22</v>
      </c>
      <c r="C5" t="s">
        <v>16</v>
      </c>
      <c r="D5" s="28">
        <f t="shared" ref="D5:R20" ca="1" si="0">INDIRECT("'"&amp;D$1&amp;"'!"&amp;D$2&amp;$A5)</f>
        <v>0.50073120795554205</v>
      </c>
      <c r="E5" s="29">
        <f t="shared" ca="1" si="0"/>
        <v>0.51040812981478401</v>
      </c>
      <c r="F5" s="29">
        <f t="shared" ca="1" si="0"/>
        <v>0.513178030947117</v>
      </c>
      <c r="G5" s="29">
        <f t="shared" ca="1" si="0"/>
        <v>0.51426729002095695</v>
      </c>
      <c r="H5" s="29">
        <f t="shared" ca="1" si="0"/>
        <v>0.50852912777598902</v>
      </c>
      <c r="I5" s="29">
        <f t="shared" ca="1" si="0"/>
        <v>0.537098039215686</v>
      </c>
      <c r="J5" s="29">
        <f t="shared" ca="1" si="0"/>
        <v>0.48847058823529399</v>
      </c>
      <c r="K5" s="29">
        <f t="shared" ca="1" si="0"/>
        <v>0.47341176470588198</v>
      </c>
      <c r="L5" s="29">
        <f t="shared" ca="1" si="0"/>
        <v>0.50039215686274496</v>
      </c>
      <c r="M5" s="29">
        <f t="shared" ca="1" si="0"/>
        <v>0.49568627450980302</v>
      </c>
      <c r="N5" s="29">
        <f t="shared" ca="1" si="0"/>
        <v>0.51827745402255299</v>
      </c>
      <c r="O5" s="29">
        <f t="shared" ca="1" si="0"/>
        <v>0.49919846104520599</v>
      </c>
      <c r="P5" s="29">
        <f t="shared" ca="1" si="0"/>
        <v>0.49249347258485598</v>
      </c>
      <c r="Q5" s="29">
        <f t="shared" ca="1" si="0"/>
        <v>0.50723485450786998</v>
      </c>
      <c r="R5" s="29">
        <f t="shared" ca="1" si="0"/>
        <v>0.50202557788545499</v>
      </c>
    </row>
    <row r="6" spans="1:18" x14ac:dyDescent="0.25">
      <c r="A6" s="26">
        <f>A5+1</f>
        <v>87</v>
      </c>
      <c r="B6" t="s">
        <v>22</v>
      </c>
      <c r="C6" t="s">
        <v>17</v>
      </c>
      <c r="D6" s="28">
        <f t="shared" ca="1" si="0"/>
        <v>0.53032786885245897</v>
      </c>
      <c r="E6" s="29">
        <f t="shared" ca="1" si="0"/>
        <v>0.53727038105359004</v>
      </c>
      <c r="F6" s="29">
        <f t="shared" ca="1" si="0"/>
        <v>0.52938468620530899</v>
      </c>
      <c r="G6" s="29">
        <f t="shared" ca="1" si="0"/>
        <v>0.54432372854668498</v>
      </c>
      <c r="H6" s="29">
        <f t="shared" ca="1" si="0"/>
        <v>0.53752478051543395</v>
      </c>
      <c r="I6" s="29">
        <f t="shared" ca="1" si="0"/>
        <v>0.57656319619783103</v>
      </c>
      <c r="J6" s="29">
        <f t="shared" ca="1" si="0"/>
        <v>0.52562008020199003</v>
      </c>
      <c r="K6" s="29">
        <f t="shared" ca="1" si="0"/>
        <v>0.51240160403980395</v>
      </c>
      <c r="L6" s="29">
        <f t="shared" ca="1" si="0"/>
        <v>0.51344125946829</v>
      </c>
      <c r="M6" s="29">
        <f t="shared" ca="1" si="0"/>
        <v>0.56379028664785302</v>
      </c>
      <c r="N6" s="29">
        <f t="shared" ca="1" si="0"/>
        <v>0.55247989753077598</v>
      </c>
      <c r="O6" s="29">
        <f t="shared" ca="1" si="0"/>
        <v>0.53138138138138102</v>
      </c>
      <c r="P6" s="29">
        <f t="shared" ca="1" si="0"/>
        <v>0.52075471698113196</v>
      </c>
      <c r="Q6" s="29">
        <f t="shared" ca="1" si="0"/>
        <v>0.52843167227147603</v>
      </c>
      <c r="R6" s="29">
        <f t="shared" ca="1" si="0"/>
        <v>0.55034432765494701</v>
      </c>
    </row>
    <row r="7" spans="1:18" x14ac:dyDescent="0.25">
      <c r="A7" s="26">
        <f t="shared" ref="A7:A10" si="1">A6+1</f>
        <v>88</v>
      </c>
      <c r="B7" t="s">
        <v>22</v>
      </c>
      <c r="C7" t="s">
        <v>18</v>
      </c>
      <c r="D7" s="28">
        <f t="shared" ca="1" si="0"/>
        <v>0.54381687660842404</v>
      </c>
      <c r="E7" s="29">
        <f t="shared" ca="1" si="0"/>
        <v>0.54012878906863504</v>
      </c>
      <c r="F7" s="29">
        <f t="shared" ca="1" si="0"/>
        <v>0.54810676598386099</v>
      </c>
      <c r="G7" s="29">
        <f t="shared" ca="1" si="0"/>
        <v>0.54818486659862897</v>
      </c>
      <c r="H7" s="29">
        <f t="shared" ca="1" si="0"/>
        <v>0.53309564408618804</v>
      </c>
      <c r="I7" s="29">
        <f t="shared" ca="1" si="0"/>
        <v>0.59305760709010302</v>
      </c>
      <c r="J7" s="29">
        <f t="shared" ca="1" si="0"/>
        <v>0.50797636632200804</v>
      </c>
      <c r="K7" s="29">
        <f t="shared" ca="1" si="0"/>
        <v>0.52171344165435696</v>
      </c>
      <c r="L7" s="29">
        <f t="shared" ca="1" si="0"/>
        <v>0.55539143279172798</v>
      </c>
      <c r="M7" s="29">
        <f t="shared" ca="1" si="0"/>
        <v>0.50797636632200804</v>
      </c>
      <c r="N7" s="29">
        <f t="shared" ca="1" si="0"/>
        <v>0.56737087543276998</v>
      </c>
      <c r="O7" s="29">
        <f t="shared" ca="1" si="0"/>
        <v>0.52355941234680603</v>
      </c>
      <c r="P7" s="29">
        <f t="shared" ca="1" si="0"/>
        <v>0.53458453155743901</v>
      </c>
      <c r="Q7" s="29">
        <f t="shared" ca="1" si="0"/>
        <v>0.55176461956122902</v>
      </c>
      <c r="R7" s="29">
        <f t="shared" ca="1" si="0"/>
        <v>0.52023296271083797</v>
      </c>
    </row>
    <row r="8" spans="1:18" x14ac:dyDescent="0.25">
      <c r="A8" s="26">
        <f t="shared" si="1"/>
        <v>89</v>
      </c>
      <c r="B8" t="s">
        <v>22</v>
      </c>
      <c r="C8" t="s">
        <v>19</v>
      </c>
      <c r="D8" s="28">
        <f t="shared" ca="1" si="0"/>
        <v>0.558555033907146</v>
      </c>
      <c r="E8" s="29">
        <f t="shared" ca="1" si="0"/>
        <v>0.56404269513008598</v>
      </c>
      <c r="F8" s="29">
        <f t="shared" ca="1" si="0"/>
        <v>0.55762864881131502</v>
      </c>
      <c r="G8" s="29">
        <f t="shared" ca="1" si="0"/>
        <v>0.57676214998390696</v>
      </c>
      <c r="H8" s="29">
        <f t="shared" ca="1" si="0"/>
        <v>0.55684119178478397</v>
      </c>
      <c r="I8" s="29">
        <f t="shared" ca="1" si="0"/>
        <v>0.61528516017813495</v>
      </c>
      <c r="J8" s="29">
        <f t="shared" ca="1" si="0"/>
        <v>0.48584973423358702</v>
      </c>
      <c r="K8" s="29">
        <f t="shared" ca="1" si="0"/>
        <v>0.53239477086625397</v>
      </c>
      <c r="L8" s="29">
        <f t="shared" ca="1" si="0"/>
        <v>0.51486855336876802</v>
      </c>
      <c r="M8" s="29">
        <f t="shared" ca="1" si="0"/>
        <v>0.553081453814107</v>
      </c>
      <c r="N8" s="29">
        <f t="shared" ca="1" si="0"/>
        <v>0.58554925148677195</v>
      </c>
      <c r="O8" s="29">
        <f t="shared" ca="1" si="0"/>
        <v>0.52203442154819701</v>
      </c>
      <c r="P8" s="29">
        <f t="shared" ca="1" si="0"/>
        <v>0.54471962960241005</v>
      </c>
      <c r="Q8" s="29">
        <f t="shared" ca="1" si="0"/>
        <v>0.54406072106261805</v>
      </c>
      <c r="R8" s="29">
        <f t="shared" ca="1" si="0"/>
        <v>0.55495495495495495</v>
      </c>
    </row>
    <row r="9" spans="1:18" x14ac:dyDescent="0.25">
      <c r="A9" s="26">
        <f t="shared" si="1"/>
        <v>90</v>
      </c>
      <c r="B9" t="s">
        <v>22</v>
      </c>
      <c r="C9" t="s">
        <v>20</v>
      </c>
      <c r="D9" s="28">
        <f t="shared" ca="1" si="0"/>
        <v>0.57437319189971003</v>
      </c>
      <c r="E9" s="29">
        <f t="shared" ca="1" si="0"/>
        <v>0.62342588378091301</v>
      </c>
      <c r="F9" s="29">
        <f t="shared" ca="1" si="0"/>
        <v>0.60638619854721498</v>
      </c>
      <c r="G9" s="29">
        <f t="shared" ca="1" si="0"/>
        <v>0.61931034482758596</v>
      </c>
      <c r="H9" s="29">
        <f t="shared" ca="1" si="0"/>
        <v>0.60496394897393202</v>
      </c>
      <c r="I9" s="29">
        <f t="shared" ca="1" si="0"/>
        <v>0.67235783829547002</v>
      </c>
      <c r="J9" s="29">
        <f t="shared" ca="1" si="0"/>
        <v>0.57979398899393197</v>
      </c>
      <c r="K9" s="29">
        <f t="shared" ca="1" si="0"/>
        <v>0.56540143925497299</v>
      </c>
      <c r="L9" s="29">
        <f t="shared" ca="1" si="0"/>
        <v>0.63355439537180702</v>
      </c>
      <c r="M9" s="29">
        <f t="shared" ca="1" si="0"/>
        <v>0.61563425991251497</v>
      </c>
      <c r="N9" s="29">
        <f t="shared" ca="1" si="0"/>
        <v>0.61951504908015298</v>
      </c>
      <c r="O9" s="29">
        <f t="shared" ca="1" si="0"/>
        <v>0.60081883316274298</v>
      </c>
      <c r="P9" s="29">
        <f t="shared" ca="1" si="0"/>
        <v>0.58517707192405899</v>
      </c>
      <c r="Q9" s="29">
        <f t="shared" ca="1" si="0"/>
        <v>0.62635139847945798</v>
      </c>
      <c r="R9" s="29">
        <f t="shared" ca="1" si="0"/>
        <v>0.61025246520735699</v>
      </c>
    </row>
    <row r="10" spans="1:18" x14ac:dyDescent="0.25">
      <c r="A10" s="26">
        <f t="shared" si="1"/>
        <v>91</v>
      </c>
      <c r="B10" t="s">
        <v>22</v>
      </c>
      <c r="C10" t="s">
        <v>21</v>
      </c>
      <c r="D10" s="28">
        <f t="shared" ca="1" si="0"/>
        <v>0.566071629055798</v>
      </c>
      <c r="E10" s="29">
        <f t="shared" ca="1" si="0"/>
        <v>0.68406513521372403</v>
      </c>
      <c r="F10" s="29">
        <f t="shared" ca="1" si="0"/>
        <v>0.72789313198780303</v>
      </c>
      <c r="G10" s="29">
        <f t="shared" ca="1" si="0"/>
        <v>0.69685902118334497</v>
      </c>
      <c r="H10" s="29">
        <f t="shared" ca="1" si="0"/>
        <v>0.70871526262185303</v>
      </c>
      <c r="I10" s="29">
        <f t="shared" ca="1" si="0"/>
        <v>0.804018497847233</v>
      </c>
      <c r="J10" s="29">
        <f t="shared" ca="1" si="0"/>
        <v>0.75027906235050201</v>
      </c>
      <c r="K10" s="29">
        <f t="shared" ca="1" si="0"/>
        <v>0.79939403603890902</v>
      </c>
      <c r="L10" s="29">
        <f t="shared" ca="1" si="0"/>
        <v>0.76064423536915904</v>
      </c>
      <c r="M10" s="29">
        <f t="shared" ca="1" si="0"/>
        <v>0.77675011959814999</v>
      </c>
      <c r="N10" s="29">
        <f t="shared" ca="1" si="0"/>
        <v>0.664382659111872</v>
      </c>
      <c r="O10" s="29">
        <f t="shared" ca="1" si="0"/>
        <v>0.71564377519202904</v>
      </c>
      <c r="P10" s="29">
        <f t="shared" ca="1" si="0"/>
        <v>0.76196990424076605</v>
      </c>
      <c r="Q10" s="29">
        <f t="shared" ca="1" si="0"/>
        <v>0.72735590118938698</v>
      </c>
      <c r="R10" s="29">
        <f t="shared" ca="1" si="0"/>
        <v>0.74117468046256796</v>
      </c>
    </row>
    <row r="11" spans="1:18" x14ac:dyDescent="0.25">
      <c r="A11" s="26">
        <v>9</v>
      </c>
      <c r="B11" t="s">
        <v>15</v>
      </c>
      <c r="C11" t="s">
        <v>16</v>
      </c>
      <c r="D11" s="28">
        <f t="shared" ca="1" si="0"/>
        <v>0.50888529886914302</v>
      </c>
      <c r="E11" s="29">
        <f t="shared" ca="1" si="0"/>
        <v>0.51313131313131299</v>
      </c>
      <c r="F11" s="29">
        <f t="shared" ca="1" si="0"/>
        <v>0.53221957040572698</v>
      </c>
      <c r="G11" s="29">
        <f t="shared" ca="1" si="0"/>
        <v>0.51205936920222594</v>
      </c>
      <c r="H11" s="29">
        <f t="shared" ca="1" si="0"/>
        <v>0.511156186612576</v>
      </c>
      <c r="I11" s="29">
        <f t="shared" ca="1" si="0"/>
        <v>0.53662691652470096</v>
      </c>
      <c r="J11" s="29">
        <f t="shared" ca="1" si="0"/>
        <v>0.432708688245315</v>
      </c>
      <c r="K11" s="29">
        <f t="shared" ca="1" si="0"/>
        <v>0.37989778534923302</v>
      </c>
      <c r="L11" s="29">
        <f t="shared" ca="1" si="0"/>
        <v>0.47018739352640498</v>
      </c>
      <c r="M11" s="29">
        <f t="shared" ca="1" si="0"/>
        <v>0.429301533219761</v>
      </c>
      <c r="N11" s="29">
        <f t="shared" ca="1" si="0"/>
        <v>0.52238805970149205</v>
      </c>
      <c r="O11" s="29">
        <f t="shared" ca="1" si="0"/>
        <v>0.46950092421441703</v>
      </c>
      <c r="P11" s="29">
        <f t="shared" ca="1" si="0"/>
        <v>0.44333996023856798</v>
      </c>
      <c r="Q11" s="29">
        <f t="shared" ca="1" si="0"/>
        <v>0.49023090586145601</v>
      </c>
      <c r="R11" s="29">
        <f t="shared" ca="1" si="0"/>
        <v>0.46666666666666601</v>
      </c>
    </row>
    <row r="12" spans="1:18" x14ac:dyDescent="0.25">
      <c r="A12" s="26">
        <f>A11+1</f>
        <v>10</v>
      </c>
      <c r="B12" t="s">
        <v>15</v>
      </c>
      <c r="C12" t="s">
        <v>17</v>
      </c>
      <c r="D12" s="28">
        <f ca="1">INDIRECT("'"&amp;D$1&amp;"'!"&amp;D$2&amp;$A12)</f>
        <v>0.54066265060240903</v>
      </c>
      <c r="E12" s="29">
        <f t="shared" ca="1" si="0"/>
        <v>0.54913294797687795</v>
      </c>
      <c r="F12" s="29">
        <f t="shared" ca="1" si="0"/>
        <v>0.52771618625277095</v>
      </c>
      <c r="G12" s="29">
        <f t="shared" ca="1" si="0"/>
        <v>0.53971486761710796</v>
      </c>
      <c r="H12" s="29">
        <f t="shared" ca="1" si="0"/>
        <v>0.53831417624521005</v>
      </c>
      <c r="I12" s="29">
        <f t="shared" ca="1" si="0"/>
        <v>0.56535433070866103</v>
      </c>
      <c r="J12" s="29">
        <f t="shared" ca="1" si="0"/>
        <v>0.44881889763779498</v>
      </c>
      <c r="K12" s="29">
        <f t="shared" ca="1" si="0"/>
        <v>0.37480314960629901</v>
      </c>
      <c r="L12" s="29">
        <f t="shared" ca="1" si="0"/>
        <v>0.41732283464566899</v>
      </c>
      <c r="M12" s="29">
        <f t="shared" ca="1" si="0"/>
        <v>0.44251968503937</v>
      </c>
      <c r="N12" s="29">
        <f t="shared" ca="1" si="0"/>
        <v>0.55273287143956795</v>
      </c>
      <c r="O12" s="29">
        <f t="shared" ca="1" si="0"/>
        <v>0.49393414211438402</v>
      </c>
      <c r="P12" s="29">
        <f t="shared" ca="1" si="0"/>
        <v>0.438305709023941</v>
      </c>
      <c r="Q12" s="29">
        <f t="shared" ca="1" si="0"/>
        <v>0.47069271758436898</v>
      </c>
      <c r="R12" s="29">
        <f t="shared" ca="1" si="0"/>
        <v>0.48573898012100197</v>
      </c>
    </row>
    <row r="13" spans="1:18" x14ac:dyDescent="0.25">
      <c r="A13" s="26">
        <f t="shared" ref="A13:A22" si="2">A12+1</f>
        <v>11</v>
      </c>
      <c r="B13" t="s">
        <v>15</v>
      </c>
      <c r="C13" t="s">
        <v>18</v>
      </c>
      <c r="D13" s="28">
        <f t="shared" ref="D13:R28" ca="1" si="3">INDIRECT("'"&amp;D$1&amp;"'!"&amp;D$2&amp;$A13)</f>
        <v>0.583206106870229</v>
      </c>
      <c r="E13" s="29">
        <f t="shared" ca="1" si="0"/>
        <v>0.53935185185185097</v>
      </c>
      <c r="F13" s="29">
        <f t="shared" ca="1" si="0"/>
        <v>0.565862708719851</v>
      </c>
      <c r="G13" s="29">
        <f t="shared" ca="1" si="0"/>
        <v>0.62041467304625197</v>
      </c>
      <c r="H13" s="29">
        <f t="shared" ca="1" si="0"/>
        <v>0.54963235294117596</v>
      </c>
      <c r="I13" s="29">
        <f t="shared" ca="1" si="0"/>
        <v>0.583206106870229</v>
      </c>
      <c r="J13" s="29">
        <f t="shared" ca="1" si="0"/>
        <v>0.35572519083969401</v>
      </c>
      <c r="K13" s="29">
        <f t="shared" ca="1" si="0"/>
        <v>0.465648854961832</v>
      </c>
      <c r="L13" s="29">
        <f t="shared" ca="1" si="0"/>
        <v>0.59389312977099196</v>
      </c>
      <c r="M13" s="29">
        <f t="shared" ca="1" si="0"/>
        <v>0.45648854961832003</v>
      </c>
      <c r="N13" s="29">
        <f t="shared" ca="1" si="0"/>
        <v>0.583206106870229</v>
      </c>
      <c r="O13" s="29">
        <f t="shared" ca="1" si="0"/>
        <v>0.428702851885924</v>
      </c>
      <c r="P13" s="29">
        <f t="shared" ca="1" si="0"/>
        <v>0.51088777219430404</v>
      </c>
      <c r="Q13" s="29">
        <f t="shared" ca="1" si="0"/>
        <v>0.60686427457098202</v>
      </c>
      <c r="R13" s="29">
        <f t="shared" ca="1" si="0"/>
        <v>0.498748957464553</v>
      </c>
    </row>
    <row r="14" spans="1:18" x14ac:dyDescent="0.25">
      <c r="A14" s="26">
        <f t="shared" si="2"/>
        <v>12</v>
      </c>
      <c r="B14" t="s">
        <v>15</v>
      </c>
      <c r="C14" t="s">
        <v>19</v>
      </c>
      <c r="D14" s="28">
        <f t="shared" ca="1" si="3"/>
        <v>0.61218836565096901</v>
      </c>
      <c r="E14" s="29">
        <f t="shared" ca="1" si="0"/>
        <v>0.60554371002132201</v>
      </c>
      <c r="F14" s="29">
        <f t="shared" ca="1" si="0"/>
        <v>0.55877616747181902</v>
      </c>
      <c r="G14" s="29">
        <f t="shared" ca="1" si="0"/>
        <v>0.68875502008032097</v>
      </c>
      <c r="H14" s="29">
        <f t="shared" ca="1" si="0"/>
        <v>0.61494252873563204</v>
      </c>
      <c r="I14" s="29">
        <f t="shared" ca="1" si="0"/>
        <v>0.63597122302158204</v>
      </c>
      <c r="J14" s="29">
        <f t="shared" ca="1" si="0"/>
        <v>0.40863309352517901</v>
      </c>
      <c r="K14" s="29">
        <f t="shared" ca="1" si="0"/>
        <v>0.49928057553956801</v>
      </c>
      <c r="L14" s="29">
        <f t="shared" ca="1" si="0"/>
        <v>0.49352517985611499</v>
      </c>
      <c r="M14" s="29">
        <f t="shared" ca="1" si="0"/>
        <v>0.61582733812949597</v>
      </c>
      <c r="N14" s="29">
        <f t="shared" ca="1" si="0"/>
        <v>0.62385321100917401</v>
      </c>
      <c r="O14" s="29">
        <f t="shared" ca="1" si="0"/>
        <v>0.487972508591065</v>
      </c>
      <c r="P14" s="29">
        <f t="shared" ca="1" si="0"/>
        <v>0.52735562310030304</v>
      </c>
      <c r="Q14" s="29">
        <f t="shared" ca="1" si="0"/>
        <v>0.57502095557418198</v>
      </c>
      <c r="R14" s="29">
        <f t="shared" ca="1" si="0"/>
        <v>0.61538461538461497</v>
      </c>
    </row>
    <row r="15" spans="1:18" x14ac:dyDescent="0.25">
      <c r="A15" s="26">
        <f t="shared" si="2"/>
        <v>13</v>
      </c>
      <c r="B15" t="s">
        <v>15</v>
      </c>
      <c r="C15" t="s">
        <v>20</v>
      </c>
      <c r="D15" s="28">
        <f t="shared" ca="1" si="3"/>
        <v>0.69266589057043004</v>
      </c>
      <c r="E15" s="29">
        <f t="shared" ca="1" si="0"/>
        <v>0.71857410881801098</v>
      </c>
      <c r="F15" s="29">
        <f t="shared" ca="1" si="0"/>
        <v>0.685430463576158</v>
      </c>
      <c r="G15" s="29">
        <f t="shared" ca="1" si="0"/>
        <v>0.69672131147540906</v>
      </c>
      <c r="H15" s="29">
        <f t="shared" ca="1" si="0"/>
        <v>0.66666666666666596</v>
      </c>
      <c r="I15" s="29">
        <f t="shared" ca="1" si="0"/>
        <v>0.74468085106382897</v>
      </c>
      <c r="J15" s="29">
        <f t="shared" ca="1" si="0"/>
        <v>0.47934918648310298</v>
      </c>
      <c r="K15" s="29">
        <f t="shared" ca="1" si="0"/>
        <v>0.518147684605757</v>
      </c>
      <c r="L15" s="29">
        <f t="shared" ca="1" si="0"/>
        <v>0.63829787234042501</v>
      </c>
      <c r="M15" s="29">
        <f t="shared" ca="1" si="0"/>
        <v>0.50563204005006201</v>
      </c>
      <c r="N15" s="29">
        <f t="shared" ca="1" si="0"/>
        <v>0.71773220747888999</v>
      </c>
      <c r="O15" s="29">
        <f t="shared" ca="1" si="0"/>
        <v>0.57507507507507505</v>
      </c>
      <c r="P15" s="29">
        <f t="shared" ca="1" si="0"/>
        <v>0.59016393442622905</v>
      </c>
      <c r="Q15" s="29">
        <f t="shared" ca="1" si="0"/>
        <v>0.66623122142390501</v>
      </c>
      <c r="R15" s="29">
        <f t="shared" ca="1" si="0"/>
        <v>0.57508896797152997</v>
      </c>
    </row>
    <row r="16" spans="1:18" x14ac:dyDescent="0.25">
      <c r="A16" s="26">
        <f t="shared" si="2"/>
        <v>14</v>
      </c>
      <c r="B16" t="s">
        <v>15</v>
      </c>
      <c r="C16" t="s">
        <v>21</v>
      </c>
      <c r="D16" s="28">
        <f t="shared" ca="1" si="3"/>
        <v>0.60124610591900296</v>
      </c>
      <c r="E16" s="29">
        <f t="shared" ca="1" si="0"/>
        <v>0.74358974358974295</v>
      </c>
      <c r="F16" s="29">
        <f t="shared" ca="1" si="0"/>
        <v>0.89529590288315597</v>
      </c>
      <c r="G16" s="29">
        <f t="shared" ca="1" si="0"/>
        <v>0.75033200531208499</v>
      </c>
      <c r="H16" s="29">
        <f t="shared" ca="1" si="0"/>
        <v>0.82403433476394805</v>
      </c>
      <c r="I16" s="29">
        <f t="shared" ca="1" si="0"/>
        <v>0.87993920972644302</v>
      </c>
      <c r="J16" s="29">
        <f t="shared" ca="1" si="0"/>
        <v>0.88145896656534894</v>
      </c>
      <c r="K16" s="29">
        <f t="shared" ca="1" si="0"/>
        <v>0.896656534954407</v>
      </c>
      <c r="L16" s="29">
        <f t="shared" ca="1" si="0"/>
        <v>0.85866261398176202</v>
      </c>
      <c r="M16" s="29">
        <f t="shared" ca="1" si="0"/>
        <v>0.87537993920972601</v>
      </c>
      <c r="N16" s="29">
        <f t="shared" ca="1" si="0"/>
        <v>0.71437384330660003</v>
      </c>
      <c r="O16" s="29">
        <f t="shared" ca="1" si="0"/>
        <v>0.80667593880389399</v>
      </c>
      <c r="P16" s="29">
        <f t="shared" ca="1" si="0"/>
        <v>0.89597570235383395</v>
      </c>
      <c r="Q16" s="29">
        <f t="shared" ca="1" si="0"/>
        <v>0.80085046066619403</v>
      </c>
      <c r="R16" s="29">
        <f t="shared" ca="1" si="0"/>
        <v>0.84893146647015405</v>
      </c>
    </row>
    <row r="17" spans="1:18" x14ac:dyDescent="0.25">
      <c r="A17" s="26">
        <f>A16+2</f>
        <v>16</v>
      </c>
      <c r="B17" t="s">
        <v>27</v>
      </c>
      <c r="C17" t="s">
        <v>16</v>
      </c>
      <c r="D17" s="28">
        <f t="shared" ca="1" si="3"/>
        <v>0.52054794520547898</v>
      </c>
      <c r="E17" s="29">
        <f t="shared" ca="1" si="0"/>
        <v>0.52622673434856104</v>
      </c>
      <c r="F17" s="29">
        <f t="shared" ca="1" si="0"/>
        <v>0.51867219917012397</v>
      </c>
      <c r="G17" s="29">
        <f t="shared" ca="1" si="0"/>
        <v>0.51943462897526504</v>
      </c>
      <c r="H17" s="29">
        <f t="shared" ca="1" si="0"/>
        <v>0.52411575562700896</v>
      </c>
      <c r="I17" s="29">
        <f t="shared" ca="1" si="0"/>
        <v>0.55882352941176405</v>
      </c>
      <c r="J17" s="29">
        <f t="shared" ca="1" si="0"/>
        <v>0.50816993464052196</v>
      </c>
      <c r="K17" s="29">
        <f t="shared" ca="1" si="0"/>
        <v>0.40849673202614301</v>
      </c>
      <c r="L17" s="29">
        <f t="shared" ca="1" si="0"/>
        <v>0.480392156862745</v>
      </c>
      <c r="M17" s="29">
        <f t="shared" ca="1" si="0"/>
        <v>0.53267973856209105</v>
      </c>
      <c r="N17" s="29">
        <f t="shared" ca="1" si="0"/>
        <v>0.53900709219858101</v>
      </c>
      <c r="O17" s="29">
        <f t="shared" ca="1" si="0"/>
        <v>0.51704073150457097</v>
      </c>
      <c r="P17" s="29">
        <f t="shared" ca="1" si="0"/>
        <v>0.45703839122486201</v>
      </c>
      <c r="Q17" s="29">
        <f t="shared" ca="1" si="0"/>
        <v>0.49915110356536502</v>
      </c>
      <c r="R17" s="29">
        <f t="shared" ca="1" si="0"/>
        <v>0.52836304700161996</v>
      </c>
    </row>
    <row r="18" spans="1:18" x14ac:dyDescent="0.25">
      <c r="A18" s="26">
        <f>A17+1</f>
        <v>17</v>
      </c>
      <c r="B18" t="s">
        <v>27</v>
      </c>
      <c r="C18" t="s">
        <v>17</v>
      </c>
      <c r="D18" s="28">
        <f t="shared" ca="1" si="3"/>
        <v>0.54758418740849102</v>
      </c>
      <c r="E18" s="29">
        <f t="shared" ca="1" si="0"/>
        <v>0.55750487329434695</v>
      </c>
      <c r="F18" s="29">
        <f t="shared" ca="1" si="0"/>
        <v>0.54325955734406395</v>
      </c>
      <c r="G18" s="29">
        <f t="shared" ca="1" si="0"/>
        <v>0.57649253731343197</v>
      </c>
      <c r="H18" s="29">
        <f t="shared" ca="1" si="0"/>
        <v>0.55289139633286299</v>
      </c>
      <c r="I18" s="29">
        <f t="shared" ca="1" si="0"/>
        <v>0.55820895522388003</v>
      </c>
      <c r="J18" s="29">
        <f t="shared" ca="1" si="0"/>
        <v>0.42686567164179101</v>
      </c>
      <c r="K18" s="29">
        <f t="shared" ca="1" si="0"/>
        <v>0.402985074626865</v>
      </c>
      <c r="L18" s="29">
        <f t="shared" ca="1" si="0"/>
        <v>0.46119402985074598</v>
      </c>
      <c r="M18" s="29">
        <f t="shared" ca="1" si="0"/>
        <v>0.58507462686567102</v>
      </c>
      <c r="N18" s="29">
        <f t="shared" ca="1" si="0"/>
        <v>0.55284552845528401</v>
      </c>
      <c r="O18" s="29">
        <f t="shared" ca="1" si="0"/>
        <v>0.48351648351648302</v>
      </c>
      <c r="P18" s="29">
        <f t="shared" ca="1" si="0"/>
        <v>0.462724935732647</v>
      </c>
      <c r="Q18" s="29">
        <f t="shared" ca="1" si="0"/>
        <v>0.51243781094527296</v>
      </c>
      <c r="R18" s="29">
        <f t="shared" ca="1" si="0"/>
        <v>0.56852791878172504</v>
      </c>
    </row>
    <row r="19" spans="1:18" x14ac:dyDescent="0.25">
      <c r="A19" s="26">
        <f t="shared" si="2"/>
        <v>18</v>
      </c>
      <c r="B19" t="s">
        <v>27</v>
      </c>
      <c r="C19" t="s">
        <v>18</v>
      </c>
      <c r="D19" s="28">
        <f t="shared" ca="1" si="3"/>
        <v>0.60589060308555398</v>
      </c>
      <c r="E19" s="29">
        <f t="shared" ca="1" si="0"/>
        <v>0.59236641221373998</v>
      </c>
      <c r="F19" s="29">
        <f t="shared" ca="1" si="0"/>
        <v>0.54876033057851203</v>
      </c>
      <c r="G19" s="29">
        <f t="shared" ca="1" si="0"/>
        <v>0.58739837398373895</v>
      </c>
      <c r="H19" s="29">
        <f t="shared" ca="1" si="0"/>
        <v>0.57262569832402199</v>
      </c>
      <c r="I19" s="29">
        <f t="shared" ca="1" si="0"/>
        <v>0.62882096069868998</v>
      </c>
      <c r="J19" s="29">
        <f t="shared" ca="1" si="0"/>
        <v>0.56477438136826696</v>
      </c>
      <c r="K19" s="29">
        <f t="shared" ca="1" si="0"/>
        <v>0.48326055312954802</v>
      </c>
      <c r="L19" s="29">
        <f t="shared" ca="1" si="0"/>
        <v>0.42066957787481801</v>
      </c>
      <c r="M19" s="29">
        <f t="shared" ca="1" si="0"/>
        <v>0.59679767103347803</v>
      </c>
      <c r="N19" s="29">
        <f t="shared" ca="1" si="0"/>
        <v>0.61714285714285699</v>
      </c>
      <c r="O19" s="29">
        <f t="shared" ca="1" si="0"/>
        <v>0.57824143070044698</v>
      </c>
      <c r="P19" s="29">
        <f t="shared" ca="1" si="0"/>
        <v>0.51393188854489102</v>
      </c>
      <c r="Q19" s="29">
        <f t="shared" ca="1" si="0"/>
        <v>0.49024597116200103</v>
      </c>
      <c r="R19" s="29">
        <f t="shared" ca="1" si="0"/>
        <v>0.58446186742694195</v>
      </c>
    </row>
    <row r="20" spans="1:18" x14ac:dyDescent="0.25">
      <c r="A20" s="26">
        <f t="shared" si="2"/>
        <v>19</v>
      </c>
      <c r="B20" t="s">
        <v>27</v>
      </c>
      <c r="C20" t="s">
        <v>19</v>
      </c>
      <c r="D20" s="28">
        <f t="shared" ca="1" si="3"/>
        <v>0.65954606141521999</v>
      </c>
      <c r="E20" s="29">
        <f t="shared" ca="1" si="0"/>
        <v>0.61948529411764697</v>
      </c>
      <c r="F20" s="29">
        <f t="shared" ca="1" si="0"/>
        <v>0.600977198697068</v>
      </c>
      <c r="G20" s="29">
        <f t="shared" ca="1" si="0"/>
        <v>0.63008130081300795</v>
      </c>
      <c r="H20" s="29">
        <f t="shared" ca="1" si="0"/>
        <v>0.60091743119265995</v>
      </c>
      <c r="I20" s="29">
        <f t="shared" ca="1" si="0"/>
        <v>0.657789613848202</v>
      </c>
      <c r="J20" s="29">
        <f t="shared" ca="1" si="0"/>
        <v>0.44873501997336801</v>
      </c>
      <c r="K20" s="29">
        <f t="shared" ca="1" si="0"/>
        <v>0.49134487350199701</v>
      </c>
      <c r="L20" s="29">
        <f t="shared" ca="1" si="0"/>
        <v>0.412782956058588</v>
      </c>
      <c r="M20" s="29">
        <f t="shared" ca="1" si="0"/>
        <v>0.52330226364846799</v>
      </c>
      <c r="N20" s="29">
        <f t="shared" ca="1" si="0"/>
        <v>0.65866666666666596</v>
      </c>
      <c r="O20" s="29">
        <f t="shared" ca="1" si="0"/>
        <v>0.52046332046332</v>
      </c>
      <c r="P20" s="29">
        <f t="shared" ca="1" si="0"/>
        <v>0.54065934065933996</v>
      </c>
      <c r="Q20" s="29">
        <f t="shared" ca="1" si="0"/>
        <v>0.49879324215607401</v>
      </c>
      <c r="R20" s="29">
        <f t="shared" ca="1" si="0"/>
        <v>0.55943060498220598</v>
      </c>
    </row>
    <row r="21" spans="1:18" x14ac:dyDescent="0.25">
      <c r="A21" s="26">
        <f t="shared" si="2"/>
        <v>20</v>
      </c>
      <c r="B21" t="s">
        <v>27</v>
      </c>
      <c r="C21" t="s">
        <v>20</v>
      </c>
      <c r="D21" s="28">
        <f t="shared" ca="1" si="3"/>
        <v>0.66303030303030297</v>
      </c>
      <c r="E21" s="29">
        <f t="shared" ca="1" si="3"/>
        <v>0.71621621621621601</v>
      </c>
      <c r="F21" s="29">
        <f t="shared" ca="1" si="3"/>
        <v>0.65543644716692195</v>
      </c>
      <c r="G21" s="29">
        <f t="shared" ca="1" si="3"/>
        <v>0.70972886762360399</v>
      </c>
      <c r="H21" s="29">
        <f t="shared" ca="1" si="3"/>
        <v>0.65912518853695301</v>
      </c>
      <c r="I21" s="29">
        <f t="shared" ca="1" si="3"/>
        <v>0.73324396782841805</v>
      </c>
      <c r="J21" s="29">
        <f t="shared" ca="1" si="3"/>
        <v>0.63941018766755997</v>
      </c>
      <c r="K21" s="29">
        <f t="shared" ca="1" si="3"/>
        <v>0.57372654155495895</v>
      </c>
      <c r="L21" s="29">
        <f t="shared" ca="1" si="3"/>
        <v>0.59651474530831095</v>
      </c>
      <c r="M21" s="29">
        <f t="shared" ca="1" si="3"/>
        <v>0.58579088471849805</v>
      </c>
      <c r="N21" s="29">
        <f t="shared" ca="1" si="3"/>
        <v>0.69637173774665795</v>
      </c>
      <c r="O21" s="29">
        <f t="shared" ca="1" si="3"/>
        <v>0.67563739376770504</v>
      </c>
      <c r="P21" s="29">
        <f t="shared" ca="1" si="3"/>
        <v>0.61186561829878405</v>
      </c>
      <c r="Q21" s="29">
        <f t="shared" ca="1" si="3"/>
        <v>0.64821558630735598</v>
      </c>
      <c r="R21" s="29">
        <f t="shared" ca="1" si="3"/>
        <v>0.62029808374733797</v>
      </c>
    </row>
    <row r="22" spans="1:18" x14ac:dyDescent="0.25">
      <c r="A22" s="26">
        <f t="shared" si="2"/>
        <v>21</v>
      </c>
      <c r="B22" t="s">
        <v>27</v>
      </c>
      <c r="C22" t="s">
        <v>21</v>
      </c>
      <c r="D22" s="28">
        <f t="shared" ca="1" si="3"/>
        <v>0.70426829268292601</v>
      </c>
      <c r="E22" s="29">
        <f t="shared" ca="1" si="3"/>
        <v>0.87745839636913703</v>
      </c>
      <c r="F22" s="29">
        <f t="shared" ca="1" si="3"/>
        <v>0.88812154696132595</v>
      </c>
      <c r="G22" s="29">
        <f t="shared" ca="1" si="3"/>
        <v>0.86956521739130399</v>
      </c>
      <c r="H22" s="29">
        <f t="shared" ca="1" si="3"/>
        <v>0.88547486033519496</v>
      </c>
      <c r="I22" s="29">
        <f t="shared" ca="1" si="3"/>
        <v>0.86194029850746201</v>
      </c>
      <c r="J22" s="29">
        <f t="shared" ca="1" si="3"/>
        <v>0.72139303482587003</v>
      </c>
      <c r="K22" s="29">
        <f t="shared" ca="1" si="3"/>
        <v>0.79975124378109397</v>
      </c>
      <c r="L22" s="29">
        <f t="shared" ca="1" si="3"/>
        <v>0.67164179104477595</v>
      </c>
      <c r="M22" s="29">
        <f t="shared" ca="1" si="3"/>
        <v>0.78855721393034806</v>
      </c>
      <c r="N22" s="29">
        <f t="shared" ca="1" si="3"/>
        <v>0.77516778523489904</v>
      </c>
      <c r="O22" s="29">
        <f t="shared" ca="1" si="3"/>
        <v>0.79180887372013598</v>
      </c>
      <c r="P22" s="29">
        <f t="shared" ca="1" si="3"/>
        <v>0.84162303664921401</v>
      </c>
      <c r="Q22" s="29">
        <f t="shared" ca="1" si="3"/>
        <v>0.75789473684210495</v>
      </c>
      <c r="R22" s="29">
        <f t="shared" ca="1" si="3"/>
        <v>0.83421052631578896</v>
      </c>
    </row>
    <row r="23" spans="1:18" x14ac:dyDescent="0.25">
      <c r="A23" s="26">
        <f>A22+2</f>
        <v>23</v>
      </c>
      <c r="B23" t="s">
        <v>28</v>
      </c>
      <c r="C23" t="s">
        <v>16</v>
      </c>
      <c r="D23" s="28">
        <f t="shared" ca="1" si="3"/>
        <v>0.52919020715630805</v>
      </c>
      <c r="E23" s="29">
        <f t="shared" ca="1" si="3"/>
        <v>0.50615114235500802</v>
      </c>
      <c r="F23" s="29">
        <f t="shared" ca="1" si="3"/>
        <v>0.49665924276169199</v>
      </c>
      <c r="G23" s="29">
        <f t="shared" ca="1" si="3"/>
        <v>0.52652259332023499</v>
      </c>
      <c r="H23" s="29">
        <f t="shared" ca="1" si="3"/>
        <v>0.48760330578512301</v>
      </c>
      <c r="I23" s="29">
        <f t="shared" ca="1" si="3"/>
        <v>0.48116438356164298</v>
      </c>
      <c r="J23" s="29">
        <f t="shared" ca="1" si="3"/>
        <v>0.49315068493150599</v>
      </c>
      <c r="K23" s="29">
        <f t="shared" ca="1" si="3"/>
        <v>0.38184931506849301</v>
      </c>
      <c r="L23" s="29">
        <f t="shared" ca="1" si="3"/>
        <v>0.45890410958904099</v>
      </c>
      <c r="M23" s="29">
        <f t="shared" ca="1" si="3"/>
        <v>0.40410958904109501</v>
      </c>
      <c r="N23" s="29">
        <f t="shared" ca="1" si="3"/>
        <v>0.50403587443946096</v>
      </c>
      <c r="O23" s="29">
        <f t="shared" ca="1" si="3"/>
        <v>0.49956634865568</v>
      </c>
      <c r="P23" s="29">
        <f t="shared" ca="1" si="3"/>
        <v>0.43175217812197397</v>
      </c>
      <c r="Q23" s="29">
        <f t="shared" ca="1" si="3"/>
        <v>0.4903934126258</v>
      </c>
      <c r="R23" s="29">
        <f t="shared" ca="1" si="3"/>
        <v>0.44194756554307102</v>
      </c>
    </row>
    <row r="24" spans="1:18" x14ac:dyDescent="0.25">
      <c r="A24" s="26">
        <f>A23+1</f>
        <v>24</v>
      </c>
      <c r="B24" t="s">
        <v>28</v>
      </c>
      <c r="C24" t="s">
        <v>17</v>
      </c>
      <c r="D24" s="28">
        <f t="shared" ca="1" si="3"/>
        <v>0.57415565345080699</v>
      </c>
      <c r="E24" s="29">
        <f t="shared" ca="1" si="3"/>
        <v>0.55576559546313797</v>
      </c>
      <c r="F24" s="29">
        <f t="shared" ca="1" si="3"/>
        <v>0.57119476268412395</v>
      </c>
      <c r="G24" s="29">
        <f t="shared" ca="1" si="3"/>
        <v>0.6</v>
      </c>
      <c r="H24" s="29">
        <f t="shared" ca="1" si="3"/>
        <v>0.56040756914119305</v>
      </c>
      <c r="I24" s="29">
        <f t="shared" ca="1" si="3"/>
        <v>0.613814756671899</v>
      </c>
      <c r="J24" s="29">
        <f t="shared" ca="1" si="3"/>
        <v>0.46153846153846101</v>
      </c>
      <c r="K24" s="29">
        <f t="shared" ca="1" si="3"/>
        <v>0.54788069073783296</v>
      </c>
      <c r="L24" s="29">
        <f t="shared" ca="1" si="3"/>
        <v>0.42386185243328101</v>
      </c>
      <c r="M24" s="29">
        <f t="shared" ca="1" si="3"/>
        <v>0.60439560439560402</v>
      </c>
      <c r="N24" s="29">
        <f t="shared" ca="1" si="3"/>
        <v>0.59332321699544699</v>
      </c>
      <c r="O24" s="29">
        <f t="shared" ca="1" si="3"/>
        <v>0.50428816466552295</v>
      </c>
      <c r="P24" s="29">
        <f t="shared" ca="1" si="3"/>
        <v>0.55929487179487103</v>
      </c>
      <c r="Q24" s="29">
        <f t="shared" ca="1" si="3"/>
        <v>0.49678012879484801</v>
      </c>
      <c r="R24" s="29">
        <f t="shared" ca="1" si="3"/>
        <v>0.58157099697885195</v>
      </c>
    </row>
    <row r="25" spans="1:18" x14ac:dyDescent="0.25">
      <c r="A25" s="26">
        <f t="shared" ref="A25:A28" si="4">A24+1</f>
        <v>25</v>
      </c>
      <c r="B25" t="s">
        <v>28</v>
      </c>
      <c r="C25" t="s">
        <v>18</v>
      </c>
      <c r="D25" s="28">
        <f t="shared" ca="1" si="3"/>
        <v>0.56521739130434701</v>
      </c>
      <c r="E25" s="29">
        <f t="shared" ca="1" si="3"/>
        <v>0.53677932405566597</v>
      </c>
      <c r="F25" s="29">
        <f t="shared" ca="1" si="3"/>
        <v>0.56461232604373701</v>
      </c>
      <c r="G25" s="29">
        <f t="shared" ca="1" si="3"/>
        <v>0.49713193116634802</v>
      </c>
      <c r="H25" s="29">
        <f t="shared" ca="1" si="3"/>
        <v>0.51010101010101006</v>
      </c>
      <c r="I25" s="29">
        <f t="shared" ca="1" si="3"/>
        <v>0.60223642172523895</v>
      </c>
      <c r="J25" s="29">
        <f t="shared" ca="1" si="3"/>
        <v>0.43130990415335402</v>
      </c>
      <c r="K25" s="29">
        <f t="shared" ca="1" si="3"/>
        <v>0.45367412140574997</v>
      </c>
      <c r="L25" s="29">
        <f t="shared" ca="1" si="3"/>
        <v>0.41533546325878501</v>
      </c>
      <c r="M25" s="29">
        <f t="shared" ca="1" si="3"/>
        <v>0.32268370607028701</v>
      </c>
      <c r="N25" s="29">
        <f t="shared" ca="1" si="3"/>
        <v>0.58313998453209503</v>
      </c>
      <c r="O25" s="29">
        <f t="shared" ca="1" si="3"/>
        <v>0.478299379982285</v>
      </c>
      <c r="P25" s="29">
        <f t="shared" ca="1" si="3"/>
        <v>0.50310008857395905</v>
      </c>
      <c r="Q25" s="29">
        <f t="shared" ca="1" si="3"/>
        <v>0.45256744995648301</v>
      </c>
      <c r="R25" s="29">
        <f t="shared" ca="1" si="3"/>
        <v>0.39530332681017599</v>
      </c>
    </row>
    <row r="26" spans="1:18" x14ac:dyDescent="0.25">
      <c r="A26" s="26">
        <f t="shared" si="4"/>
        <v>26</v>
      </c>
      <c r="B26" t="s">
        <v>28</v>
      </c>
      <c r="C26" t="s">
        <v>19</v>
      </c>
      <c r="D26" s="28">
        <f t="shared" ca="1" si="3"/>
        <v>0.55057803468208</v>
      </c>
      <c r="E26" s="29">
        <f t="shared" ca="1" si="3"/>
        <v>0.56652360515021405</v>
      </c>
      <c r="F26" s="29">
        <f t="shared" ca="1" si="3"/>
        <v>0.55932203389830504</v>
      </c>
      <c r="G26" s="29">
        <f t="shared" ca="1" si="3"/>
        <v>0.59217877094972005</v>
      </c>
      <c r="H26" s="29">
        <f t="shared" ca="1" si="3"/>
        <v>0.52095808383233499</v>
      </c>
      <c r="I26" s="29">
        <f t="shared" ca="1" si="3"/>
        <v>0.602848101265822</v>
      </c>
      <c r="J26" s="29">
        <f t="shared" ca="1" si="3"/>
        <v>0.417721518987341</v>
      </c>
      <c r="K26" s="29">
        <f t="shared" ca="1" si="3"/>
        <v>0.469936708860759</v>
      </c>
      <c r="L26" s="29">
        <f t="shared" ca="1" si="3"/>
        <v>0.503164556962025</v>
      </c>
      <c r="M26" s="29">
        <f t="shared" ca="1" si="3"/>
        <v>0.412974683544303</v>
      </c>
      <c r="N26" s="29">
        <f t="shared" ca="1" si="3"/>
        <v>0.575528700906344</v>
      </c>
      <c r="O26" s="29">
        <f t="shared" ca="1" si="3"/>
        <v>0.48087431693989002</v>
      </c>
      <c r="P26" s="29">
        <f t="shared" ca="1" si="3"/>
        <v>0.51074806534823702</v>
      </c>
      <c r="Q26" s="29">
        <f t="shared" ca="1" si="3"/>
        <v>0.54405474764756201</v>
      </c>
      <c r="R26" s="29">
        <f t="shared" ca="1" si="3"/>
        <v>0.46072374227714002</v>
      </c>
    </row>
    <row r="27" spans="1:18" x14ac:dyDescent="0.25">
      <c r="A27" s="26">
        <f t="shared" si="4"/>
        <v>27</v>
      </c>
      <c r="B27" t="s">
        <v>28</v>
      </c>
      <c r="C27" t="s">
        <v>20</v>
      </c>
      <c r="D27" s="28">
        <f t="shared" ca="1" si="3"/>
        <v>0.59685863874345502</v>
      </c>
      <c r="E27" s="29">
        <f t="shared" ca="1" si="3"/>
        <v>0.66390041493775898</v>
      </c>
      <c r="F27" s="29">
        <f t="shared" ca="1" si="3"/>
        <v>0.67492260061919496</v>
      </c>
      <c r="G27" s="29">
        <f t="shared" ca="1" si="3"/>
        <v>0.62350936967631998</v>
      </c>
      <c r="H27" s="29">
        <f t="shared" ca="1" si="3"/>
        <v>0.75583864118895905</v>
      </c>
      <c r="I27" s="29">
        <f t="shared" ca="1" si="3"/>
        <v>0.65423242467718701</v>
      </c>
      <c r="J27" s="29">
        <f t="shared" ca="1" si="3"/>
        <v>0.45911047345767497</v>
      </c>
      <c r="K27" s="29">
        <f t="shared" ca="1" si="3"/>
        <v>0.31276901004304097</v>
      </c>
      <c r="L27" s="29">
        <f t="shared" ca="1" si="3"/>
        <v>0.52510760401721601</v>
      </c>
      <c r="M27" s="29">
        <f t="shared" ca="1" si="3"/>
        <v>0.51076040172166404</v>
      </c>
      <c r="N27" s="29">
        <f t="shared" ca="1" si="3"/>
        <v>0.62422997946611902</v>
      </c>
      <c r="O27" s="29">
        <f t="shared" ca="1" si="3"/>
        <v>0.54283290924512295</v>
      </c>
      <c r="P27" s="29">
        <f t="shared" ca="1" si="3"/>
        <v>0.42745098039215601</v>
      </c>
      <c r="Q27" s="29">
        <f t="shared" ca="1" si="3"/>
        <v>0.57009345794392496</v>
      </c>
      <c r="R27" s="29">
        <f t="shared" ca="1" si="3"/>
        <v>0.60958904109588996</v>
      </c>
    </row>
    <row r="28" spans="1:18" x14ac:dyDescent="0.25">
      <c r="A28" s="26">
        <f t="shared" si="4"/>
        <v>28</v>
      </c>
      <c r="B28" t="s">
        <v>28</v>
      </c>
      <c r="C28" t="s">
        <v>21</v>
      </c>
      <c r="D28" s="28">
        <f t="shared" ca="1" si="3"/>
        <v>0.66701570680628197</v>
      </c>
      <c r="E28" s="29">
        <f t="shared" ca="1" si="3"/>
        <v>0.77645502645502595</v>
      </c>
      <c r="F28" s="29">
        <f t="shared" ca="1" si="3"/>
        <v>0.871835443037974</v>
      </c>
      <c r="G28" s="29">
        <f t="shared" ca="1" si="3"/>
        <v>0.84388807069219396</v>
      </c>
      <c r="H28" s="29">
        <f t="shared" ca="1" si="3"/>
        <v>0.84742951907131003</v>
      </c>
      <c r="I28" s="29">
        <f t="shared" ca="1" si="3"/>
        <v>0.85046728971962604</v>
      </c>
      <c r="J28" s="29">
        <f t="shared" ca="1" si="3"/>
        <v>0.78371161548731605</v>
      </c>
      <c r="K28" s="29">
        <f t="shared" ca="1" si="3"/>
        <v>0.73564753004005301</v>
      </c>
      <c r="L28" s="29">
        <f t="shared" ca="1" si="3"/>
        <v>0.76502002670226898</v>
      </c>
      <c r="M28" s="29">
        <f t="shared" ca="1" si="3"/>
        <v>0.68224299065420502</v>
      </c>
      <c r="N28" s="29">
        <f t="shared" ca="1" si="3"/>
        <v>0.74765258215962405</v>
      </c>
      <c r="O28" s="29">
        <f t="shared" ca="1" si="3"/>
        <v>0.78006644518272406</v>
      </c>
      <c r="P28" s="29">
        <f t="shared" ca="1" si="3"/>
        <v>0.79797248370745799</v>
      </c>
      <c r="Q28" s="29">
        <f t="shared" ca="1" si="3"/>
        <v>0.80252100840336105</v>
      </c>
      <c r="R28" s="29">
        <f t="shared" ca="1" si="3"/>
        <v>0.75591715976331297</v>
      </c>
    </row>
    <row r="29" spans="1:18" x14ac:dyDescent="0.25">
      <c r="A29" s="26">
        <f>A28+2</f>
        <v>30</v>
      </c>
      <c r="B29" t="s">
        <v>29</v>
      </c>
      <c r="C29" t="s">
        <v>16</v>
      </c>
      <c r="D29" s="28">
        <f t="shared" ref="D29:R44" ca="1" si="5">INDIRECT("'"&amp;D$1&amp;"'!"&amp;D$2&amp;$A29)</f>
        <v>0.45614035087719201</v>
      </c>
      <c r="E29" s="29">
        <f t="shared" ca="1" si="5"/>
        <v>0.48235294117646998</v>
      </c>
      <c r="F29" s="29">
        <f t="shared" ca="1" si="5"/>
        <v>0.47992351816443501</v>
      </c>
      <c r="G29" s="29">
        <f t="shared" ca="1" si="5"/>
        <v>0.46625766871165603</v>
      </c>
      <c r="H29" s="29">
        <f t="shared" ca="1" si="5"/>
        <v>0.46689895470383203</v>
      </c>
      <c r="I29" s="29">
        <f t="shared" ca="1" si="5"/>
        <v>0.52380952380952295</v>
      </c>
      <c r="J29" s="29">
        <f t="shared" ca="1" si="5"/>
        <v>0.52564102564102499</v>
      </c>
      <c r="K29" s="29">
        <f t="shared" ca="1" si="5"/>
        <v>0.45970695970695902</v>
      </c>
      <c r="L29" s="29">
        <f t="shared" ca="1" si="5"/>
        <v>0.55677655677655602</v>
      </c>
      <c r="M29" s="29">
        <f t="shared" ca="1" si="5"/>
        <v>0.49084249084248999</v>
      </c>
      <c r="N29" s="29">
        <f t="shared" ca="1" si="5"/>
        <v>0.48763853367433901</v>
      </c>
      <c r="O29" s="29">
        <f t="shared" ca="1" si="5"/>
        <v>0.503067484662576</v>
      </c>
      <c r="P29" s="29">
        <f t="shared" ca="1" si="5"/>
        <v>0.46959775491113098</v>
      </c>
      <c r="Q29" s="29">
        <f t="shared" ca="1" si="5"/>
        <v>0.50751252086811305</v>
      </c>
      <c r="R29" s="29">
        <f t="shared" ca="1" si="5"/>
        <v>0.47857142857142798</v>
      </c>
    </row>
    <row r="30" spans="1:18" x14ac:dyDescent="0.25">
      <c r="A30" s="26">
        <f>A29+1</f>
        <v>31</v>
      </c>
      <c r="B30" t="s">
        <v>29</v>
      </c>
      <c r="C30" t="s">
        <v>17</v>
      </c>
      <c r="D30" s="28">
        <f t="shared" ca="1" si="5"/>
        <v>0.48784722222222199</v>
      </c>
      <c r="E30" s="29">
        <f t="shared" ca="1" si="5"/>
        <v>0.48557692307692302</v>
      </c>
      <c r="F30" s="29">
        <f t="shared" ca="1" si="5"/>
        <v>0.461409395973154</v>
      </c>
      <c r="G30" s="29">
        <f t="shared" ca="1" si="5"/>
        <v>0.42723004694835598</v>
      </c>
      <c r="H30" s="29">
        <f t="shared" ca="1" si="5"/>
        <v>0.47564935064934999</v>
      </c>
      <c r="I30" s="29">
        <f t="shared" ca="1" si="5"/>
        <v>0.52919020715630805</v>
      </c>
      <c r="J30" s="29">
        <f t="shared" ca="1" si="5"/>
        <v>0.57062146892655297</v>
      </c>
      <c r="K30" s="29">
        <f t="shared" ca="1" si="5"/>
        <v>0.51789077212806001</v>
      </c>
      <c r="L30" s="29">
        <f t="shared" ca="1" si="5"/>
        <v>0.34274952919020701</v>
      </c>
      <c r="M30" s="29">
        <f t="shared" ca="1" si="5"/>
        <v>0.55178907721280601</v>
      </c>
      <c r="N30" s="29">
        <f t="shared" ca="1" si="5"/>
        <v>0.50767841011743398</v>
      </c>
      <c r="O30" s="29">
        <f t="shared" ca="1" si="5"/>
        <v>0.52467532467532396</v>
      </c>
      <c r="P30" s="29">
        <f t="shared" ca="1" si="5"/>
        <v>0.48802129547471101</v>
      </c>
      <c r="Q30" s="29">
        <f t="shared" ca="1" si="5"/>
        <v>0.38035527690700099</v>
      </c>
      <c r="R30" s="29">
        <f t="shared" ca="1" si="5"/>
        <v>0.51089799476896203</v>
      </c>
    </row>
    <row r="31" spans="1:18" x14ac:dyDescent="0.25">
      <c r="A31" s="26">
        <f t="shared" ref="A31:A34" si="6">A30+1</f>
        <v>32</v>
      </c>
      <c r="B31" t="s">
        <v>29</v>
      </c>
      <c r="C31" t="s">
        <v>18</v>
      </c>
      <c r="D31" s="28">
        <f t="shared" ca="1" si="5"/>
        <v>0.43779527559055098</v>
      </c>
      <c r="E31" s="29">
        <f t="shared" ca="1" si="5"/>
        <v>0.472727272727272</v>
      </c>
      <c r="F31" s="29">
        <f t="shared" ca="1" si="5"/>
        <v>0.43333333333333302</v>
      </c>
      <c r="G31" s="29">
        <f t="shared" ca="1" si="5"/>
        <v>0.44427001569858698</v>
      </c>
      <c r="H31" s="29">
        <f t="shared" ca="1" si="5"/>
        <v>0.45379537953795301</v>
      </c>
      <c r="I31" s="29">
        <f t="shared" ca="1" si="5"/>
        <v>0.54191033138401501</v>
      </c>
      <c r="J31" s="29">
        <f t="shared" ca="1" si="5"/>
        <v>0.55750487329434695</v>
      </c>
      <c r="K31" s="29">
        <f t="shared" ca="1" si="5"/>
        <v>0.45614035087719201</v>
      </c>
      <c r="L31" s="29">
        <f t="shared" ca="1" si="5"/>
        <v>0.55165692007797196</v>
      </c>
      <c r="M31" s="29">
        <f t="shared" ca="1" si="5"/>
        <v>0.53606237816764102</v>
      </c>
      <c r="N31" s="29">
        <f t="shared" ca="1" si="5"/>
        <v>0.48432055749128899</v>
      </c>
      <c r="O31" s="29">
        <f t="shared" ca="1" si="5"/>
        <v>0.51162790697674398</v>
      </c>
      <c r="P31" s="29">
        <f t="shared" ca="1" si="5"/>
        <v>0.44444444444444398</v>
      </c>
      <c r="Q31" s="29">
        <f t="shared" ca="1" si="5"/>
        <v>0.49217391304347802</v>
      </c>
      <c r="R31" s="29">
        <f t="shared" ca="1" si="5"/>
        <v>0.49151027703306499</v>
      </c>
    </row>
    <row r="32" spans="1:18" x14ac:dyDescent="0.25">
      <c r="A32" s="26">
        <f t="shared" si="6"/>
        <v>33</v>
      </c>
      <c r="B32" t="s">
        <v>29</v>
      </c>
      <c r="C32" t="s">
        <v>19</v>
      </c>
      <c r="D32" s="28">
        <f t="shared" ca="1" si="5"/>
        <v>0.45619335347432</v>
      </c>
      <c r="E32" s="29">
        <f t="shared" ca="1" si="5"/>
        <v>0.455149501661129</v>
      </c>
      <c r="F32" s="29">
        <f t="shared" ca="1" si="5"/>
        <v>0.44525547445255398</v>
      </c>
      <c r="G32" s="29">
        <f t="shared" ca="1" si="5"/>
        <v>0.47368421052631499</v>
      </c>
      <c r="H32" s="29">
        <f t="shared" ca="1" si="5"/>
        <v>0.45395799676898202</v>
      </c>
      <c r="I32" s="29">
        <f t="shared" ca="1" si="5"/>
        <v>0.59332023575638504</v>
      </c>
      <c r="J32" s="29">
        <f t="shared" ca="1" si="5"/>
        <v>0.53831041257367296</v>
      </c>
      <c r="K32" s="29">
        <f t="shared" ca="1" si="5"/>
        <v>0.59921414538310402</v>
      </c>
      <c r="L32" s="29">
        <f t="shared" ca="1" si="5"/>
        <v>0.565815324165029</v>
      </c>
      <c r="M32" s="29">
        <f t="shared" ca="1" si="5"/>
        <v>0.55206286836935103</v>
      </c>
      <c r="N32" s="29">
        <f t="shared" ca="1" si="5"/>
        <v>0.51579846285226305</v>
      </c>
      <c r="O32" s="29">
        <f t="shared" ca="1" si="5"/>
        <v>0.49324932493249302</v>
      </c>
      <c r="P32" s="29">
        <f t="shared" ca="1" si="5"/>
        <v>0.51088777219430404</v>
      </c>
      <c r="Q32" s="29">
        <f t="shared" ca="1" si="5"/>
        <v>0.51566696508504895</v>
      </c>
      <c r="R32" s="29">
        <f t="shared" ca="1" si="5"/>
        <v>0.49822695035460901</v>
      </c>
    </row>
    <row r="33" spans="1:18" x14ac:dyDescent="0.25">
      <c r="A33" s="26">
        <f t="shared" si="6"/>
        <v>34</v>
      </c>
      <c r="B33" t="s">
        <v>29</v>
      </c>
      <c r="C33" t="s">
        <v>20</v>
      </c>
      <c r="D33" s="28">
        <f t="shared" ca="1" si="5"/>
        <v>0.42209631728045299</v>
      </c>
      <c r="E33" s="29">
        <f t="shared" ca="1" si="5"/>
        <v>0.51114023591087798</v>
      </c>
      <c r="F33" s="29">
        <f t="shared" ca="1" si="5"/>
        <v>0.44699646643109497</v>
      </c>
      <c r="G33" s="29">
        <f t="shared" ca="1" si="5"/>
        <v>0.51333333333333298</v>
      </c>
      <c r="H33" s="29">
        <f t="shared" ca="1" si="5"/>
        <v>0.539363484087102</v>
      </c>
      <c r="I33" s="29">
        <f t="shared" ca="1" si="5"/>
        <v>0.65494505494505495</v>
      </c>
      <c r="J33" s="29">
        <f t="shared" ca="1" si="5"/>
        <v>0.85714285714285698</v>
      </c>
      <c r="K33" s="29">
        <f t="shared" ca="1" si="5"/>
        <v>0.55604395604395596</v>
      </c>
      <c r="L33" s="29">
        <f t="shared" ca="1" si="5"/>
        <v>0.84615384615384603</v>
      </c>
      <c r="M33" s="29">
        <f t="shared" ca="1" si="5"/>
        <v>0.70769230769230695</v>
      </c>
      <c r="N33" s="29">
        <f t="shared" ca="1" si="5"/>
        <v>0.51335055986218703</v>
      </c>
      <c r="O33" s="29">
        <f t="shared" ca="1" si="5"/>
        <v>0.64039408866994996</v>
      </c>
      <c r="P33" s="29">
        <f t="shared" ca="1" si="5"/>
        <v>0.49559255631733501</v>
      </c>
      <c r="Q33" s="29">
        <f t="shared" ca="1" si="5"/>
        <v>0.63900414937759298</v>
      </c>
      <c r="R33" s="29">
        <f t="shared" ca="1" si="5"/>
        <v>0.61216730038022804</v>
      </c>
    </row>
    <row r="34" spans="1:18" x14ac:dyDescent="0.25">
      <c r="A34" s="26">
        <f t="shared" si="6"/>
        <v>35</v>
      </c>
      <c r="B34" t="s">
        <v>29</v>
      </c>
      <c r="C34" t="s">
        <v>21</v>
      </c>
      <c r="D34" s="28">
        <f t="shared" ca="1" si="5"/>
        <v>0.44471153846153799</v>
      </c>
      <c r="E34" s="29">
        <f t="shared" ca="1" si="5"/>
        <v>0.54749999999999999</v>
      </c>
      <c r="F34" s="29">
        <f t="shared" ca="1" si="5"/>
        <v>0.51905626134301197</v>
      </c>
      <c r="G34" s="29">
        <f t="shared" ca="1" si="5"/>
        <v>0.49402390438247001</v>
      </c>
      <c r="H34" s="29">
        <f t="shared" ca="1" si="5"/>
        <v>0.491496598639455</v>
      </c>
      <c r="I34" s="29">
        <f t="shared" ca="1" si="5"/>
        <v>0.77244258872651295</v>
      </c>
      <c r="J34" s="29">
        <f t="shared" ca="1" si="5"/>
        <v>0.45720250521920602</v>
      </c>
      <c r="K34" s="29">
        <f t="shared" ca="1" si="5"/>
        <v>0.59707724425887199</v>
      </c>
      <c r="L34" s="29">
        <f t="shared" ca="1" si="5"/>
        <v>0.517745302713987</v>
      </c>
      <c r="M34" s="29">
        <f t="shared" ca="1" si="5"/>
        <v>0.60334029227557395</v>
      </c>
      <c r="N34" s="29">
        <f t="shared" ca="1" si="5"/>
        <v>0.56445461479786396</v>
      </c>
      <c r="O34" s="29">
        <f t="shared" ca="1" si="5"/>
        <v>0.49829351535836103</v>
      </c>
      <c r="P34" s="29">
        <f t="shared" ca="1" si="5"/>
        <v>0.55533980582524201</v>
      </c>
      <c r="Q34" s="29">
        <f t="shared" ca="1" si="5"/>
        <v>0.50560652395514705</v>
      </c>
      <c r="R34" s="29">
        <f t="shared" ca="1" si="5"/>
        <v>0.54170571696344805</v>
      </c>
    </row>
    <row r="35" spans="1:18" x14ac:dyDescent="0.25">
      <c r="A35" s="26">
        <f>A34+2</f>
        <v>37</v>
      </c>
      <c r="B35" t="s">
        <v>30</v>
      </c>
      <c r="C35" t="s">
        <v>16</v>
      </c>
      <c r="D35" s="28">
        <f t="shared" ca="1" si="5"/>
        <v>0.50641025641025605</v>
      </c>
      <c r="E35" s="29">
        <f t="shared" ca="1" si="5"/>
        <v>0.54752066115702402</v>
      </c>
      <c r="F35" s="29">
        <f t="shared" ca="1" si="5"/>
        <v>0.54545454545454497</v>
      </c>
      <c r="G35" s="29">
        <f t="shared" ca="1" si="5"/>
        <v>0.56576200417536504</v>
      </c>
      <c r="H35" s="29">
        <f t="shared" ca="1" si="5"/>
        <v>0.51013513513513498</v>
      </c>
      <c r="I35" s="29">
        <f t="shared" ca="1" si="5"/>
        <v>0.53020134228187898</v>
      </c>
      <c r="J35" s="29">
        <f t="shared" ca="1" si="5"/>
        <v>0.44463087248322097</v>
      </c>
      <c r="K35" s="29">
        <f t="shared" ca="1" si="5"/>
        <v>0.56375838926174404</v>
      </c>
      <c r="L35" s="29">
        <f t="shared" ca="1" si="5"/>
        <v>0.45469798657718102</v>
      </c>
      <c r="M35" s="29">
        <f t="shared" ca="1" si="5"/>
        <v>0.50671140939597303</v>
      </c>
      <c r="N35" s="29">
        <f t="shared" ca="1" si="5"/>
        <v>0.51803278688524501</v>
      </c>
      <c r="O35" s="29">
        <f t="shared" ca="1" si="5"/>
        <v>0.49074074074073998</v>
      </c>
      <c r="P35" s="29">
        <f t="shared" ca="1" si="5"/>
        <v>0.55445544554455395</v>
      </c>
      <c r="Q35" s="29">
        <f t="shared" ca="1" si="5"/>
        <v>0.50418604651162702</v>
      </c>
      <c r="R35" s="29">
        <f t="shared" ca="1" si="5"/>
        <v>0.50841750841750799</v>
      </c>
    </row>
    <row r="36" spans="1:18" x14ac:dyDescent="0.25">
      <c r="A36" s="26">
        <f>A35+1</f>
        <v>38</v>
      </c>
      <c r="B36" t="s">
        <v>30</v>
      </c>
      <c r="C36" t="s">
        <v>17</v>
      </c>
      <c r="D36" s="28">
        <f t="shared" ca="1" si="5"/>
        <v>0.54277286135693203</v>
      </c>
      <c r="E36" s="29">
        <f t="shared" ca="1" si="5"/>
        <v>0.546063651591289</v>
      </c>
      <c r="F36" s="29">
        <f t="shared" ca="1" si="5"/>
        <v>0.54240282685512298</v>
      </c>
      <c r="G36" s="29">
        <f t="shared" ca="1" si="5"/>
        <v>0.58184764991896198</v>
      </c>
      <c r="H36" s="29">
        <f t="shared" ca="1" si="5"/>
        <v>0.54084967320261401</v>
      </c>
      <c r="I36" s="29">
        <f t="shared" ca="1" si="5"/>
        <v>0.57770800627943397</v>
      </c>
      <c r="J36" s="29">
        <f t="shared" ca="1" si="5"/>
        <v>0.51177394034536805</v>
      </c>
      <c r="K36" s="29">
        <f t="shared" ca="1" si="5"/>
        <v>0.48194662480376699</v>
      </c>
      <c r="L36" s="29">
        <f t="shared" ca="1" si="5"/>
        <v>0.56357927786499196</v>
      </c>
      <c r="M36" s="29">
        <f t="shared" ca="1" si="5"/>
        <v>0.51962323390894805</v>
      </c>
      <c r="N36" s="29">
        <f t="shared" ca="1" si="5"/>
        <v>0.55969581749049402</v>
      </c>
      <c r="O36" s="29">
        <f t="shared" ca="1" si="5"/>
        <v>0.52836304700161996</v>
      </c>
      <c r="P36" s="29">
        <f t="shared" ca="1" si="5"/>
        <v>0.51039068994181203</v>
      </c>
      <c r="Q36" s="29">
        <f t="shared" ca="1" si="5"/>
        <v>0.57256778309409795</v>
      </c>
      <c r="R36" s="29">
        <f t="shared" ca="1" si="5"/>
        <v>0.53002401921537201</v>
      </c>
    </row>
    <row r="37" spans="1:18" x14ac:dyDescent="0.25">
      <c r="A37" s="26">
        <f t="shared" ref="A37:A40" si="7">A36+1</f>
        <v>39</v>
      </c>
      <c r="B37" t="s">
        <v>30</v>
      </c>
      <c r="C37" t="s">
        <v>18</v>
      </c>
      <c r="D37" s="28">
        <f t="shared" ca="1" si="5"/>
        <v>0.57917261055634806</v>
      </c>
      <c r="E37" s="29">
        <f t="shared" ca="1" si="5"/>
        <v>0.57665505226480795</v>
      </c>
      <c r="F37" s="29">
        <f t="shared" ca="1" si="5"/>
        <v>0.61555555555555497</v>
      </c>
      <c r="G37" s="29">
        <f t="shared" ca="1" si="5"/>
        <v>0.54915730337078605</v>
      </c>
      <c r="H37" s="29">
        <f t="shared" ca="1" si="5"/>
        <v>0.6</v>
      </c>
      <c r="I37" s="29">
        <f t="shared" ca="1" si="5"/>
        <v>0.61796042617960401</v>
      </c>
      <c r="J37" s="29">
        <f t="shared" ca="1" si="5"/>
        <v>0.503805175038051</v>
      </c>
      <c r="K37" s="29">
        <f t="shared" ca="1" si="5"/>
        <v>0.42161339421613298</v>
      </c>
      <c r="L37" s="29">
        <f t="shared" ca="1" si="5"/>
        <v>0.595129375951293</v>
      </c>
      <c r="M37" s="29">
        <f t="shared" ca="1" si="5"/>
        <v>0.50228310502283102</v>
      </c>
      <c r="N37" s="29">
        <f t="shared" ca="1" si="5"/>
        <v>0.597938144329896</v>
      </c>
      <c r="O37" s="29">
        <f t="shared" ca="1" si="5"/>
        <v>0.53777416734362304</v>
      </c>
      <c r="P37" s="29">
        <f t="shared" ca="1" si="5"/>
        <v>0.50045167118337797</v>
      </c>
      <c r="Q37" s="29">
        <f t="shared" ca="1" si="5"/>
        <v>0.571219868517165</v>
      </c>
      <c r="R37" s="29">
        <f t="shared" ca="1" si="5"/>
        <v>0.54681027340513599</v>
      </c>
    </row>
    <row r="38" spans="1:18" x14ac:dyDescent="0.25">
      <c r="A38" s="26">
        <f t="shared" si="7"/>
        <v>40</v>
      </c>
      <c r="B38" t="s">
        <v>30</v>
      </c>
      <c r="C38" t="s">
        <v>19</v>
      </c>
      <c r="D38" s="28">
        <f t="shared" ca="1" si="5"/>
        <v>0.59972105997210601</v>
      </c>
      <c r="E38" s="29">
        <f t="shared" ca="1" si="5"/>
        <v>0.65581395348837201</v>
      </c>
      <c r="F38" s="29">
        <f t="shared" ca="1" si="5"/>
        <v>0.60553129548762696</v>
      </c>
      <c r="G38" s="29">
        <f t="shared" ca="1" si="5"/>
        <v>0.64746945898778296</v>
      </c>
      <c r="H38" s="29">
        <f t="shared" ca="1" si="5"/>
        <v>0.60312944523470802</v>
      </c>
      <c r="I38" s="29">
        <f t="shared" ca="1" si="5"/>
        <v>0.625</v>
      </c>
      <c r="J38" s="29">
        <f t="shared" ca="1" si="5"/>
        <v>0.40988372093023201</v>
      </c>
      <c r="K38" s="29">
        <f t="shared" ca="1" si="5"/>
        <v>0.60465116279069697</v>
      </c>
      <c r="L38" s="29">
        <f t="shared" ca="1" si="5"/>
        <v>0.53924418604651103</v>
      </c>
      <c r="M38" s="29">
        <f t="shared" ca="1" si="5"/>
        <v>0.61627906976744096</v>
      </c>
      <c r="N38" s="29">
        <f t="shared" ca="1" si="5"/>
        <v>0.61209964412811302</v>
      </c>
      <c r="O38" s="29">
        <f t="shared" ca="1" si="5"/>
        <v>0.50447227191413202</v>
      </c>
      <c r="P38" s="29">
        <f t="shared" ca="1" si="5"/>
        <v>0.60509090909090901</v>
      </c>
      <c r="Q38" s="29">
        <f t="shared" ca="1" si="5"/>
        <v>0.58842188739095902</v>
      </c>
      <c r="R38" s="29">
        <f t="shared" ca="1" si="5"/>
        <v>0.60963335729690804</v>
      </c>
    </row>
    <row r="39" spans="1:18" x14ac:dyDescent="0.25">
      <c r="A39" s="26">
        <f t="shared" si="7"/>
        <v>41</v>
      </c>
      <c r="B39" t="s">
        <v>30</v>
      </c>
      <c r="C39" t="s">
        <v>20</v>
      </c>
      <c r="D39" s="28">
        <f t="shared" ca="1" si="5"/>
        <v>0.64390243902439004</v>
      </c>
      <c r="E39" s="29">
        <f t="shared" ca="1" si="5"/>
        <v>0.78136882129277496</v>
      </c>
      <c r="F39" s="29">
        <f t="shared" ca="1" si="5"/>
        <v>0.74700854700854702</v>
      </c>
      <c r="G39" s="29">
        <f t="shared" ca="1" si="5"/>
        <v>0.71806167400881005</v>
      </c>
      <c r="H39" s="29">
        <f t="shared" ca="1" si="5"/>
        <v>0.67133956386292803</v>
      </c>
      <c r="I39" s="29">
        <f t="shared" ca="1" si="5"/>
        <v>0.72527472527472503</v>
      </c>
      <c r="J39" s="29">
        <f t="shared" ca="1" si="5"/>
        <v>0.564560439560439</v>
      </c>
      <c r="K39" s="29">
        <f t="shared" ca="1" si="5"/>
        <v>0.60027472527472503</v>
      </c>
      <c r="L39" s="29">
        <f t="shared" ca="1" si="5"/>
        <v>0.67170329670329598</v>
      </c>
      <c r="M39" s="29">
        <f t="shared" ca="1" si="5"/>
        <v>0.59203296703296704</v>
      </c>
      <c r="N39" s="29">
        <f t="shared" ca="1" si="5"/>
        <v>0.68217054263565802</v>
      </c>
      <c r="O39" s="29">
        <f t="shared" ca="1" si="5"/>
        <v>0.65550239234449703</v>
      </c>
      <c r="P39" s="29">
        <f t="shared" ca="1" si="5"/>
        <v>0.66565118050266503</v>
      </c>
      <c r="Q39" s="29">
        <f t="shared" ca="1" si="5"/>
        <v>0.69410929737402405</v>
      </c>
      <c r="R39" s="29">
        <f t="shared" ca="1" si="5"/>
        <v>0.62919708029196997</v>
      </c>
    </row>
    <row r="40" spans="1:18" x14ac:dyDescent="0.25">
      <c r="A40" s="26">
        <f t="shared" si="7"/>
        <v>42</v>
      </c>
      <c r="B40" t="s">
        <v>30</v>
      </c>
      <c r="C40" t="s">
        <v>21</v>
      </c>
      <c r="D40" s="28">
        <f t="shared" ca="1" si="5"/>
        <v>0.66701461377870497</v>
      </c>
      <c r="E40" s="29">
        <f t="shared" ca="1" si="5"/>
        <v>0.92120075046904304</v>
      </c>
      <c r="F40" s="29">
        <f t="shared" ca="1" si="5"/>
        <v>0.93362831858407003</v>
      </c>
      <c r="G40" s="29">
        <f t="shared" ca="1" si="5"/>
        <v>0.92788461538461497</v>
      </c>
      <c r="H40" s="29">
        <f t="shared" ca="1" si="5"/>
        <v>0.93304221251819497</v>
      </c>
      <c r="I40" s="29">
        <f t="shared" ca="1" si="5"/>
        <v>0.84078947368420998</v>
      </c>
      <c r="J40" s="29">
        <f t="shared" ca="1" si="5"/>
        <v>0.64605263157894699</v>
      </c>
      <c r="K40" s="29">
        <f t="shared" ca="1" si="5"/>
        <v>0.83289473684210502</v>
      </c>
      <c r="L40" s="29">
        <f t="shared" ca="1" si="5"/>
        <v>0.76184210526315699</v>
      </c>
      <c r="M40" s="29">
        <f t="shared" ca="1" si="5"/>
        <v>0.84342105263157896</v>
      </c>
      <c r="N40" s="29">
        <f t="shared" ca="1" si="5"/>
        <v>0.74388824214202498</v>
      </c>
      <c r="O40" s="29">
        <f t="shared" ca="1" si="5"/>
        <v>0.75947409126063403</v>
      </c>
      <c r="P40" s="29">
        <f t="shared" ca="1" si="5"/>
        <v>0.88038942976356005</v>
      </c>
      <c r="Q40" s="29">
        <f t="shared" ca="1" si="5"/>
        <v>0.83670520231213796</v>
      </c>
      <c r="R40" s="29">
        <f t="shared" ca="1" si="5"/>
        <v>0.88597097442985395</v>
      </c>
    </row>
    <row r="41" spans="1:18" x14ac:dyDescent="0.25">
      <c r="A41" s="26">
        <f>A40+2</f>
        <v>44</v>
      </c>
      <c r="B41" t="s">
        <v>31</v>
      </c>
      <c r="C41" t="s">
        <v>16</v>
      </c>
      <c r="D41" s="28">
        <f t="shared" ca="1" si="5"/>
        <v>0.488151658767772</v>
      </c>
      <c r="E41" s="29">
        <f t="shared" ca="1" si="5"/>
        <v>0.45242369838420099</v>
      </c>
      <c r="F41" s="29">
        <f t="shared" ca="1" si="5"/>
        <v>0.49288256227757998</v>
      </c>
      <c r="G41" s="29">
        <f t="shared" ca="1" si="5"/>
        <v>0.47360000000000002</v>
      </c>
      <c r="H41" s="29">
        <f t="shared" ca="1" si="5"/>
        <v>0.50076103500761004</v>
      </c>
      <c r="I41" s="29">
        <f t="shared" ca="1" si="5"/>
        <v>0.544973544973545</v>
      </c>
      <c r="J41" s="29">
        <f t="shared" ca="1" si="5"/>
        <v>0.44444444444444398</v>
      </c>
      <c r="K41" s="29">
        <f t="shared" ca="1" si="5"/>
        <v>0.48853615520282101</v>
      </c>
      <c r="L41" s="29">
        <f t="shared" ca="1" si="5"/>
        <v>0.52204585537918802</v>
      </c>
      <c r="M41" s="29">
        <f t="shared" ca="1" si="5"/>
        <v>0.58024691358024605</v>
      </c>
      <c r="N41" s="29">
        <f t="shared" ca="1" si="5"/>
        <v>0.51500000000000001</v>
      </c>
      <c r="O41" s="29">
        <f t="shared" ca="1" si="5"/>
        <v>0.44839857651245502</v>
      </c>
      <c r="P41" s="29">
        <f t="shared" ca="1" si="5"/>
        <v>0.49069973427812202</v>
      </c>
      <c r="Q41" s="29">
        <f t="shared" ca="1" si="5"/>
        <v>0.49664429530201298</v>
      </c>
      <c r="R41" s="29">
        <f t="shared" ca="1" si="5"/>
        <v>0.53758169934640498</v>
      </c>
    </row>
    <row r="42" spans="1:18" x14ac:dyDescent="0.25">
      <c r="A42" s="26">
        <f>A41+1</f>
        <v>45</v>
      </c>
      <c r="B42" t="s">
        <v>31</v>
      </c>
      <c r="C42" t="s">
        <v>17</v>
      </c>
      <c r="D42" s="28">
        <f t="shared" ca="1" si="5"/>
        <v>0.49453978159126299</v>
      </c>
      <c r="E42" s="29">
        <f t="shared" ca="1" si="5"/>
        <v>0.49009900990098998</v>
      </c>
      <c r="F42" s="29">
        <f t="shared" ca="1" si="5"/>
        <v>0.50606060606060599</v>
      </c>
      <c r="G42" s="29">
        <f t="shared" ca="1" si="5"/>
        <v>0.47877758913412499</v>
      </c>
      <c r="H42" s="29">
        <f t="shared" ca="1" si="5"/>
        <v>0.50279329608938494</v>
      </c>
      <c r="I42" s="29">
        <f t="shared" ca="1" si="5"/>
        <v>0.55226480836236902</v>
      </c>
      <c r="J42" s="29">
        <f t="shared" ca="1" si="5"/>
        <v>0.51742160278745597</v>
      </c>
      <c r="K42" s="29">
        <f t="shared" ca="1" si="5"/>
        <v>0.58188153310104496</v>
      </c>
      <c r="L42" s="29">
        <f t="shared" ca="1" si="5"/>
        <v>0.49128919860627102</v>
      </c>
      <c r="M42" s="29">
        <f t="shared" ca="1" si="5"/>
        <v>0.62717770034843201</v>
      </c>
      <c r="N42" s="29">
        <f t="shared" ca="1" si="5"/>
        <v>0.52181069958847703</v>
      </c>
      <c r="O42" s="29">
        <f t="shared" ca="1" si="5"/>
        <v>0.50338983050847397</v>
      </c>
      <c r="P42" s="29">
        <f t="shared" ca="1" si="5"/>
        <v>0.54132901134521805</v>
      </c>
      <c r="Q42" s="29">
        <f t="shared" ca="1" si="5"/>
        <v>0.48495270851246702</v>
      </c>
      <c r="R42" s="29">
        <f t="shared" ca="1" si="5"/>
        <v>0.55813953488372003</v>
      </c>
    </row>
    <row r="43" spans="1:18" x14ac:dyDescent="0.25">
      <c r="A43" s="26">
        <f t="shared" ref="A43:A46" si="8">A42+1</f>
        <v>46</v>
      </c>
      <c r="B43" t="s">
        <v>31</v>
      </c>
      <c r="C43" t="s">
        <v>18</v>
      </c>
      <c r="D43" s="28">
        <f t="shared" ca="1" si="5"/>
        <v>0.49556213017751399</v>
      </c>
      <c r="E43" s="29">
        <f t="shared" ca="1" si="5"/>
        <v>0.50079744816586902</v>
      </c>
      <c r="F43" s="29">
        <f t="shared" ca="1" si="5"/>
        <v>0.49243466299862398</v>
      </c>
      <c r="G43" s="29">
        <f t="shared" ca="1" si="5"/>
        <v>0.50860719874804305</v>
      </c>
      <c r="H43" s="29">
        <f t="shared" ca="1" si="5"/>
        <v>0.46153846153846101</v>
      </c>
      <c r="I43" s="29">
        <f t="shared" ca="1" si="5"/>
        <v>0.576592082616179</v>
      </c>
      <c r="J43" s="29">
        <f t="shared" ca="1" si="5"/>
        <v>0.54044750430292599</v>
      </c>
      <c r="K43" s="29">
        <f t="shared" ca="1" si="5"/>
        <v>0.61617900172117002</v>
      </c>
      <c r="L43" s="29">
        <f t="shared" ca="1" si="5"/>
        <v>0.55938037865748702</v>
      </c>
      <c r="M43" s="29">
        <f t="shared" ca="1" si="5"/>
        <v>0.50602409638554202</v>
      </c>
      <c r="N43" s="29">
        <f t="shared" ca="1" si="5"/>
        <v>0.53301511535401702</v>
      </c>
      <c r="O43" s="29">
        <f t="shared" ca="1" si="5"/>
        <v>0.51986754966887405</v>
      </c>
      <c r="P43" s="29">
        <f t="shared" ca="1" si="5"/>
        <v>0.54740061162079501</v>
      </c>
      <c r="Q43" s="29">
        <f t="shared" ca="1" si="5"/>
        <v>0.53278688524590101</v>
      </c>
      <c r="R43" s="29">
        <f t="shared" ca="1" si="5"/>
        <v>0.48275862068965503</v>
      </c>
    </row>
    <row r="44" spans="1:18" x14ac:dyDescent="0.25">
      <c r="A44" s="26">
        <f t="shared" si="8"/>
        <v>47</v>
      </c>
      <c r="B44" t="s">
        <v>31</v>
      </c>
      <c r="C44" t="s">
        <v>19</v>
      </c>
      <c r="D44" s="28">
        <f t="shared" ca="1" si="5"/>
        <v>0.49850746268656698</v>
      </c>
      <c r="E44" s="29">
        <f t="shared" ca="1" si="5"/>
        <v>0.44634525660964203</v>
      </c>
      <c r="F44" s="29">
        <f t="shared" ca="1" si="5"/>
        <v>0.471086036671368</v>
      </c>
      <c r="G44" s="29">
        <f t="shared" ca="1" si="5"/>
        <v>0.42771084337349302</v>
      </c>
      <c r="H44" s="29">
        <f t="shared" ca="1" si="5"/>
        <v>0.47802197802197799</v>
      </c>
      <c r="I44" s="29">
        <f t="shared" ca="1" si="5"/>
        <v>0.58289703315881303</v>
      </c>
      <c r="J44" s="29">
        <f t="shared" ca="1" si="5"/>
        <v>0.50087260034904002</v>
      </c>
      <c r="K44" s="29">
        <f t="shared" ca="1" si="5"/>
        <v>0.58289703315881303</v>
      </c>
      <c r="L44" s="29">
        <f t="shared" ca="1" si="5"/>
        <v>0.49563699825479901</v>
      </c>
      <c r="M44" s="29">
        <f t="shared" ca="1" si="5"/>
        <v>0.60732984293193704</v>
      </c>
      <c r="N44" s="29">
        <f t="shared" ca="1" si="5"/>
        <v>0.53740949316170505</v>
      </c>
      <c r="O44" s="29">
        <f t="shared" ca="1" si="5"/>
        <v>0.47203947368421001</v>
      </c>
      <c r="P44" s="29">
        <f t="shared" ca="1" si="5"/>
        <v>0.52106084243369699</v>
      </c>
      <c r="Q44" s="29">
        <f t="shared" ca="1" si="5"/>
        <v>0.45917542441390402</v>
      </c>
      <c r="R44" s="29">
        <f t="shared" ca="1" si="5"/>
        <v>0.53497309761721701</v>
      </c>
    </row>
    <row r="45" spans="1:18" x14ac:dyDescent="0.25">
      <c r="A45" s="26">
        <f t="shared" si="8"/>
        <v>48</v>
      </c>
      <c r="B45" t="s">
        <v>31</v>
      </c>
      <c r="C45" t="s">
        <v>20</v>
      </c>
      <c r="D45" s="28">
        <f t="shared" ref="D45:R60" ca="1" si="9">INDIRECT("'"&amp;D$1&amp;"'!"&amp;D$2&amp;$A45)</f>
        <v>0.51428571428571401</v>
      </c>
      <c r="E45" s="29">
        <f t="shared" ca="1" si="9"/>
        <v>0.559274755927475</v>
      </c>
      <c r="F45" s="29">
        <f t="shared" ca="1" si="9"/>
        <v>0.51372997711670398</v>
      </c>
      <c r="G45" s="29">
        <f t="shared" ca="1" si="9"/>
        <v>0.58797653958944196</v>
      </c>
      <c r="H45" s="29">
        <f t="shared" ca="1" si="9"/>
        <v>0.58530805687203702</v>
      </c>
      <c r="I45" s="29">
        <f t="shared" ca="1" si="9"/>
        <v>0.69109947643978997</v>
      </c>
      <c r="J45" s="29">
        <f t="shared" ca="1" si="9"/>
        <v>0.69982547993019195</v>
      </c>
      <c r="K45" s="29">
        <f t="shared" ca="1" si="9"/>
        <v>0.783595113438045</v>
      </c>
      <c r="L45" s="29">
        <f t="shared" ca="1" si="9"/>
        <v>0.69982547993019195</v>
      </c>
      <c r="M45" s="29">
        <f t="shared" ca="1" si="9"/>
        <v>0.86212914485165704</v>
      </c>
      <c r="N45" s="29">
        <f t="shared" ca="1" si="9"/>
        <v>0.58972449739389399</v>
      </c>
      <c r="O45" s="29">
        <f t="shared" ca="1" si="9"/>
        <v>0.62170542635658899</v>
      </c>
      <c r="P45" s="29">
        <f t="shared" ca="1" si="9"/>
        <v>0.62059433310297096</v>
      </c>
      <c r="Q45" s="29">
        <f t="shared" ca="1" si="9"/>
        <v>0.63904382470119503</v>
      </c>
      <c r="R45" s="29">
        <f t="shared" ca="1" si="9"/>
        <v>0.69724770642201805</v>
      </c>
    </row>
    <row r="46" spans="1:18" x14ac:dyDescent="0.25">
      <c r="A46" s="26">
        <f t="shared" si="8"/>
        <v>49</v>
      </c>
      <c r="B46" t="s">
        <v>31</v>
      </c>
      <c r="C46" t="s">
        <v>21</v>
      </c>
      <c r="D46" s="28">
        <f t="shared" ca="1" si="9"/>
        <v>0.28034188034188001</v>
      </c>
      <c r="E46" s="29">
        <f t="shared" ca="1" si="9"/>
        <v>0.37566137566137497</v>
      </c>
      <c r="F46" s="29">
        <f t="shared" ca="1" si="9"/>
        <v>0.36068376068376001</v>
      </c>
      <c r="G46" s="29">
        <f t="shared" ca="1" si="9"/>
        <v>0.452229299363057</v>
      </c>
      <c r="H46" s="29">
        <f t="shared" ca="1" si="9"/>
        <v>0.34533551554828101</v>
      </c>
      <c r="I46" s="29">
        <f t="shared" ca="1" si="9"/>
        <v>0.54304635761589404</v>
      </c>
      <c r="J46" s="29">
        <f t="shared" ca="1" si="9"/>
        <v>0.70529801324503305</v>
      </c>
      <c r="K46" s="29">
        <f t="shared" ca="1" si="9"/>
        <v>0.69867549668874096</v>
      </c>
      <c r="L46" s="29">
        <f t="shared" ca="1" si="9"/>
        <v>0.70529801324503305</v>
      </c>
      <c r="M46" s="29">
        <f t="shared" ca="1" si="9"/>
        <v>0.69867549668874096</v>
      </c>
      <c r="N46" s="29">
        <f t="shared" ca="1" si="9"/>
        <v>0.369785794813979</v>
      </c>
      <c r="O46" s="29">
        <f t="shared" ca="1" si="9"/>
        <v>0.49021864211737598</v>
      </c>
      <c r="P46" s="29">
        <f t="shared" ca="1" si="9"/>
        <v>0.47576099210822997</v>
      </c>
      <c r="Q46" s="29">
        <f t="shared" ca="1" si="9"/>
        <v>0.551099611901681</v>
      </c>
      <c r="R46" s="29">
        <f t="shared" ca="1" si="9"/>
        <v>0.46221248630887102</v>
      </c>
    </row>
    <row r="47" spans="1:18" x14ac:dyDescent="0.25">
      <c r="A47" s="26">
        <f>A46+2</f>
        <v>51</v>
      </c>
      <c r="B47" t="s">
        <v>32</v>
      </c>
      <c r="C47" t="s">
        <v>16</v>
      </c>
      <c r="D47" s="28">
        <f t="shared" ca="1" si="9"/>
        <v>0.51824817518248101</v>
      </c>
      <c r="E47" s="29">
        <f t="shared" ca="1" si="9"/>
        <v>0.50178571428571395</v>
      </c>
      <c r="F47" s="29">
        <f t="shared" ca="1" si="9"/>
        <v>0.50342465753424603</v>
      </c>
      <c r="G47" s="29">
        <f t="shared" ca="1" si="9"/>
        <v>0.50264550264550201</v>
      </c>
      <c r="H47" s="29">
        <f t="shared" ca="1" si="9"/>
        <v>0.49197860962566797</v>
      </c>
      <c r="I47" s="29">
        <f t="shared" ca="1" si="9"/>
        <v>0.50176678445229606</v>
      </c>
      <c r="J47" s="29">
        <f t="shared" ca="1" si="9"/>
        <v>0.496466431095406</v>
      </c>
      <c r="K47" s="29">
        <f t="shared" ca="1" si="9"/>
        <v>0.51943462897526504</v>
      </c>
      <c r="L47" s="29">
        <f t="shared" ca="1" si="9"/>
        <v>0.503533568904593</v>
      </c>
      <c r="M47" s="29">
        <f t="shared" ca="1" si="9"/>
        <v>0.48763250883392201</v>
      </c>
      <c r="N47" s="29">
        <f t="shared" ca="1" si="9"/>
        <v>0.50987432675044797</v>
      </c>
      <c r="O47" s="29">
        <f t="shared" ca="1" si="9"/>
        <v>0.49911190053285898</v>
      </c>
      <c r="P47" s="29">
        <f t="shared" ca="1" si="9"/>
        <v>0.51130434782608603</v>
      </c>
      <c r="Q47" s="29">
        <f t="shared" ca="1" si="9"/>
        <v>0.50308914386584203</v>
      </c>
      <c r="R47" s="29">
        <f t="shared" ca="1" si="9"/>
        <v>0.48979591836734698</v>
      </c>
    </row>
    <row r="48" spans="1:18" x14ac:dyDescent="0.25">
      <c r="A48" s="26">
        <f>A47+1</f>
        <v>52</v>
      </c>
      <c r="B48" t="s">
        <v>32</v>
      </c>
      <c r="C48" t="s">
        <v>17</v>
      </c>
      <c r="D48" s="28">
        <f t="shared" ca="1" si="9"/>
        <v>0.466442953020134</v>
      </c>
      <c r="E48" s="29">
        <f t="shared" ca="1" si="9"/>
        <v>0.506493506493506</v>
      </c>
      <c r="F48" s="29">
        <f t="shared" ca="1" si="9"/>
        <v>0.47581903276130999</v>
      </c>
      <c r="G48" s="29">
        <f t="shared" ca="1" si="9"/>
        <v>0.50163398692810401</v>
      </c>
      <c r="H48" s="29">
        <f t="shared" ca="1" si="9"/>
        <v>0.50724637681159401</v>
      </c>
      <c r="I48" s="29">
        <f t="shared" ca="1" si="9"/>
        <v>0.5</v>
      </c>
      <c r="J48" s="29">
        <f t="shared" ca="1" si="9"/>
        <v>0.49100719424460398</v>
      </c>
      <c r="K48" s="29">
        <f t="shared" ca="1" si="9"/>
        <v>0.54856115107913594</v>
      </c>
      <c r="L48" s="29">
        <f t="shared" ca="1" si="9"/>
        <v>0.55215827338129497</v>
      </c>
      <c r="M48" s="29">
        <f t="shared" ca="1" si="9"/>
        <v>0.56654676258992798</v>
      </c>
      <c r="N48" s="29">
        <f t="shared" ca="1" si="9"/>
        <v>0.48263888888888801</v>
      </c>
      <c r="O48" s="29">
        <f t="shared" ca="1" si="9"/>
        <v>0.49863013698630099</v>
      </c>
      <c r="P48" s="29">
        <f t="shared" ca="1" si="9"/>
        <v>0.50960735171261395</v>
      </c>
      <c r="Q48" s="29">
        <f t="shared" ca="1" si="9"/>
        <v>0.52568493150684903</v>
      </c>
      <c r="R48" s="29">
        <f t="shared" ca="1" si="9"/>
        <v>0.535259133389974</v>
      </c>
    </row>
    <row r="49" spans="1:18" x14ac:dyDescent="0.25">
      <c r="A49" s="26">
        <f t="shared" ref="A49:A52" si="10">A48+1</f>
        <v>53</v>
      </c>
      <c r="B49" t="s">
        <v>32</v>
      </c>
      <c r="C49" t="s">
        <v>18</v>
      </c>
      <c r="D49" s="28">
        <f t="shared" ca="1" si="9"/>
        <v>0.48068669527896901</v>
      </c>
      <c r="E49" s="29">
        <f t="shared" ca="1" si="9"/>
        <v>0.49012567324955097</v>
      </c>
      <c r="F49" s="29">
        <f t="shared" ca="1" si="9"/>
        <v>0.46560846560846503</v>
      </c>
      <c r="G49" s="29">
        <f t="shared" ca="1" si="9"/>
        <v>0.49002217294900202</v>
      </c>
      <c r="H49" s="29">
        <f t="shared" ca="1" si="9"/>
        <v>0.42323651452282102</v>
      </c>
      <c r="I49" s="29">
        <f t="shared" ca="1" si="9"/>
        <v>0.415584415584415</v>
      </c>
      <c r="J49" s="29">
        <f t="shared" ca="1" si="9"/>
        <v>0.506493506493506</v>
      </c>
      <c r="K49" s="29">
        <f t="shared" ca="1" si="9"/>
        <v>0.48979591836734598</v>
      </c>
      <c r="L49" s="29">
        <f t="shared" ca="1" si="9"/>
        <v>0.410018552875695</v>
      </c>
      <c r="M49" s="29">
        <f t="shared" ca="1" si="9"/>
        <v>0.37847866419294901</v>
      </c>
      <c r="N49" s="29">
        <f t="shared" ca="1" si="9"/>
        <v>0.44577114427860598</v>
      </c>
      <c r="O49" s="29">
        <f t="shared" ca="1" si="9"/>
        <v>0.49817518248175102</v>
      </c>
      <c r="P49" s="29">
        <f t="shared" ca="1" si="9"/>
        <v>0.47739602169981898</v>
      </c>
      <c r="Q49" s="29">
        <f t="shared" ca="1" si="9"/>
        <v>0.44646464646464601</v>
      </c>
      <c r="R49" s="29">
        <f t="shared" ca="1" si="9"/>
        <v>0.39960822722820699</v>
      </c>
    </row>
    <row r="50" spans="1:18" x14ac:dyDescent="0.25">
      <c r="A50" s="26">
        <f t="shared" si="10"/>
        <v>54</v>
      </c>
      <c r="B50" t="s">
        <v>32</v>
      </c>
      <c r="C50" t="s">
        <v>19</v>
      </c>
      <c r="D50" s="28">
        <f t="shared" ca="1" si="9"/>
        <v>0.459396751740139</v>
      </c>
      <c r="E50" s="29">
        <f t="shared" ca="1" si="9"/>
        <v>0.51171171171171104</v>
      </c>
      <c r="F50" s="29">
        <f t="shared" ca="1" si="9"/>
        <v>0.46004842615012098</v>
      </c>
      <c r="G50" s="29">
        <f t="shared" ca="1" si="9"/>
        <v>0.487623762376237</v>
      </c>
      <c r="H50" s="29">
        <f t="shared" ca="1" si="9"/>
        <v>0.436974789915966</v>
      </c>
      <c r="I50" s="29">
        <f t="shared" ca="1" si="9"/>
        <v>0.37429111531190901</v>
      </c>
      <c r="J50" s="29">
        <f t="shared" ca="1" si="9"/>
        <v>0.53686200378071802</v>
      </c>
      <c r="K50" s="29">
        <f t="shared" ca="1" si="9"/>
        <v>0.35916824196597302</v>
      </c>
      <c r="L50" s="29">
        <f t="shared" ca="1" si="9"/>
        <v>0.37240075614366702</v>
      </c>
      <c r="M50" s="29">
        <f t="shared" ca="1" si="9"/>
        <v>0.29489603024574601</v>
      </c>
      <c r="N50" s="29">
        <f t="shared" ca="1" si="9"/>
        <v>0.41249999999999998</v>
      </c>
      <c r="O50" s="29">
        <f t="shared" ca="1" si="9"/>
        <v>0.52398523985239798</v>
      </c>
      <c r="P50" s="29">
        <f t="shared" ca="1" si="9"/>
        <v>0.403397027600849</v>
      </c>
      <c r="Q50" s="29">
        <f t="shared" ca="1" si="9"/>
        <v>0.42229367631296799</v>
      </c>
      <c r="R50" s="29">
        <f t="shared" ca="1" si="9"/>
        <v>0.35214446952595901</v>
      </c>
    </row>
    <row r="51" spans="1:18" x14ac:dyDescent="0.25">
      <c r="A51" s="26">
        <f t="shared" si="10"/>
        <v>55</v>
      </c>
      <c r="B51" t="s">
        <v>32</v>
      </c>
      <c r="C51" t="s">
        <v>20</v>
      </c>
      <c r="D51" s="28">
        <f t="shared" ca="1" si="9"/>
        <v>0.469696969696969</v>
      </c>
      <c r="E51" s="29">
        <f t="shared" ca="1" si="9"/>
        <v>0.566455696202531</v>
      </c>
      <c r="F51" s="29">
        <f t="shared" ca="1" si="9"/>
        <v>0.54478976234003595</v>
      </c>
      <c r="G51" s="29">
        <f t="shared" ca="1" si="9"/>
        <v>0.58695652173913004</v>
      </c>
      <c r="H51" s="29">
        <f t="shared" ca="1" si="9"/>
        <v>0.48455056179775202</v>
      </c>
      <c r="I51" s="29">
        <f t="shared" ca="1" si="9"/>
        <v>0.34254143646408802</v>
      </c>
      <c r="J51" s="29">
        <f t="shared" ca="1" si="9"/>
        <v>0.65930018416206204</v>
      </c>
      <c r="K51" s="29">
        <f t="shared" ca="1" si="9"/>
        <v>0.548802946593001</v>
      </c>
      <c r="L51" s="29">
        <f t="shared" ca="1" si="9"/>
        <v>0.74585635359115998</v>
      </c>
      <c r="M51" s="29">
        <f t="shared" ca="1" si="9"/>
        <v>0.63535911602209905</v>
      </c>
      <c r="N51" s="29">
        <f t="shared" ca="1" si="9"/>
        <v>0.396166134185303</v>
      </c>
      <c r="O51" s="29">
        <f t="shared" ca="1" si="9"/>
        <v>0.60936170212765906</v>
      </c>
      <c r="P51" s="29">
        <f t="shared" ca="1" si="9"/>
        <v>0.54678899082568799</v>
      </c>
      <c r="Q51" s="29">
        <f t="shared" ca="1" si="9"/>
        <v>0.65693430656934304</v>
      </c>
      <c r="R51" s="29">
        <f t="shared" ca="1" si="9"/>
        <v>0.54980079681274896</v>
      </c>
    </row>
    <row r="52" spans="1:18" x14ac:dyDescent="0.25">
      <c r="A52" s="26">
        <f t="shared" si="10"/>
        <v>56</v>
      </c>
      <c r="B52" t="s">
        <v>32</v>
      </c>
      <c r="C52" t="s">
        <v>21</v>
      </c>
      <c r="D52" s="28">
        <f t="shared" ca="1" si="9"/>
        <v>0.18817204301075199</v>
      </c>
      <c r="E52" s="29">
        <f t="shared" ca="1" si="9"/>
        <v>0.37528089887640398</v>
      </c>
      <c r="F52" s="29">
        <f t="shared" ca="1" si="9"/>
        <v>0.458452722063037</v>
      </c>
      <c r="G52" s="29">
        <f t="shared" ca="1" si="9"/>
        <v>0.37061403508771901</v>
      </c>
      <c r="H52" s="29">
        <f t="shared" ca="1" si="9"/>
        <v>0.49538461538461498</v>
      </c>
      <c r="I52" s="29">
        <f t="shared" ca="1" si="9"/>
        <v>0.12589928057553901</v>
      </c>
      <c r="J52" s="29">
        <f t="shared" ca="1" si="9"/>
        <v>0.60071942446043103</v>
      </c>
      <c r="K52" s="29">
        <f t="shared" ca="1" si="9"/>
        <v>0.57553956834532305</v>
      </c>
      <c r="L52" s="29">
        <f t="shared" ca="1" si="9"/>
        <v>0.60791366906474797</v>
      </c>
      <c r="M52" s="29">
        <f t="shared" ca="1" si="9"/>
        <v>0.57913669064748197</v>
      </c>
      <c r="N52" s="29">
        <f t="shared" ca="1" si="9"/>
        <v>0.15086206896551699</v>
      </c>
      <c r="O52" s="29">
        <f t="shared" ca="1" si="9"/>
        <v>0.46196403872752401</v>
      </c>
      <c r="P52" s="29">
        <f t="shared" ca="1" si="9"/>
        <v>0.51036682615629902</v>
      </c>
      <c r="Q52" s="29">
        <f t="shared" ca="1" si="9"/>
        <v>0.46049046321525799</v>
      </c>
      <c r="R52" s="29">
        <f t="shared" ca="1" si="9"/>
        <v>0.53399668325041405</v>
      </c>
    </row>
    <row r="53" spans="1:18" x14ac:dyDescent="0.25">
      <c r="A53" s="26">
        <f>A52+2</f>
        <v>58</v>
      </c>
      <c r="B53" t="s">
        <v>33</v>
      </c>
      <c r="C53" t="s">
        <v>16</v>
      </c>
      <c r="D53" s="28">
        <f t="shared" ca="1" si="9"/>
        <v>0.50152439024390205</v>
      </c>
      <c r="E53" s="29">
        <f t="shared" ca="1" si="9"/>
        <v>0.554991539763113</v>
      </c>
      <c r="F53" s="29">
        <f t="shared" ca="1" si="9"/>
        <v>0.53160453808751995</v>
      </c>
      <c r="G53" s="29">
        <f t="shared" ca="1" si="9"/>
        <v>0.54761904761904701</v>
      </c>
      <c r="H53" s="29">
        <f t="shared" ca="1" si="9"/>
        <v>0.54045307443365698</v>
      </c>
      <c r="I53" s="29">
        <f t="shared" ca="1" si="9"/>
        <v>0.55016722408026697</v>
      </c>
      <c r="J53" s="29">
        <f t="shared" ca="1" si="9"/>
        <v>0.54849498327759105</v>
      </c>
      <c r="K53" s="29">
        <f t="shared" ca="1" si="9"/>
        <v>0.54849498327759105</v>
      </c>
      <c r="L53" s="29">
        <f t="shared" ca="1" si="9"/>
        <v>0.53846153846153799</v>
      </c>
      <c r="M53" s="29">
        <f t="shared" ca="1" si="9"/>
        <v>0.558528428093645</v>
      </c>
      <c r="N53" s="29">
        <f t="shared" ca="1" si="9"/>
        <v>0.52472089314194503</v>
      </c>
      <c r="O53" s="29">
        <f t="shared" ca="1" si="9"/>
        <v>0.55172413793103403</v>
      </c>
      <c r="P53" s="29">
        <f t="shared" ca="1" si="9"/>
        <v>0.53991769547325097</v>
      </c>
      <c r="Q53" s="29">
        <f t="shared" ca="1" si="9"/>
        <v>0.54300168634064006</v>
      </c>
      <c r="R53" s="29">
        <f t="shared" ca="1" si="9"/>
        <v>0.54934210526315697</v>
      </c>
    </row>
    <row r="54" spans="1:18" x14ac:dyDescent="0.25">
      <c r="A54" s="26">
        <f>A53+1</f>
        <v>59</v>
      </c>
      <c r="B54" t="s">
        <v>33</v>
      </c>
      <c r="C54" t="s">
        <v>17</v>
      </c>
      <c r="D54" s="28">
        <f t="shared" ca="1" si="9"/>
        <v>0.52332361516034898</v>
      </c>
      <c r="E54" s="29">
        <f t="shared" ca="1" si="9"/>
        <v>0.54722638680659597</v>
      </c>
      <c r="F54" s="29">
        <f t="shared" ca="1" si="9"/>
        <v>0.55213675213675195</v>
      </c>
      <c r="G54" s="29">
        <f t="shared" ca="1" si="9"/>
        <v>0.55098934550989298</v>
      </c>
      <c r="H54" s="29">
        <f t="shared" ca="1" si="9"/>
        <v>0.56474820143884896</v>
      </c>
      <c r="I54" s="29">
        <f t="shared" ca="1" si="9"/>
        <v>0.57996768982229396</v>
      </c>
      <c r="J54" s="29">
        <f t="shared" ca="1" si="9"/>
        <v>0.58966074313408701</v>
      </c>
      <c r="K54" s="29">
        <f t="shared" ca="1" si="9"/>
        <v>0.52180936995153404</v>
      </c>
      <c r="L54" s="29">
        <f t="shared" ca="1" si="9"/>
        <v>0.58481421647818999</v>
      </c>
      <c r="M54" s="29">
        <f t="shared" ca="1" si="9"/>
        <v>0.50726978998384398</v>
      </c>
      <c r="N54" s="29">
        <f t="shared" ca="1" si="9"/>
        <v>0.55019157088122606</v>
      </c>
      <c r="O54" s="29">
        <f t="shared" ca="1" si="9"/>
        <v>0.56765163297045096</v>
      </c>
      <c r="P54" s="29">
        <f t="shared" ca="1" si="9"/>
        <v>0.536544850498338</v>
      </c>
      <c r="Q54" s="29">
        <f t="shared" ca="1" si="9"/>
        <v>0.56739811912225702</v>
      </c>
      <c r="R54" s="29">
        <f t="shared" ca="1" si="9"/>
        <v>0.534468085106382</v>
      </c>
    </row>
    <row r="55" spans="1:18" x14ac:dyDescent="0.25">
      <c r="A55" s="26">
        <f t="shared" ref="A55:A58" si="11">A54+1</f>
        <v>60</v>
      </c>
      <c r="B55" t="s">
        <v>33</v>
      </c>
      <c r="C55" t="s">
        <v>18</v>
      </c>
      <c r="D55" s="28">
        <f t="shared" ca="1" si="9"/>
        <v>0.54814814814814805</v>
      </c>
      <c r="E55" s="29">
        <f t="shared" ca="1" si="9"/>
        <v>0.55537720706259996</v>
      </c>
      <c r="F55" s="29">
        <f t="shared" ca="1" si="9"/>
        <v>0.57434944237918195</v>
      </c>
      <c r="G55" s="29">
        <f t="shared" ca="1" si="9"/>
        <v>0.59964726631393295</v>
      </c>
      <c r="H55" s="29">
        <f t="shared" ca="1" si="9"/>
        <v>0.570175438596491</v>
      </c>
      <c r="I55" s="29">
        <f t="shared" ca="1" si="9"/>
        <v>0.58359621451104104</v>
      </c>
      <c r="J55" s="29">
        <f t="shared" ca="1" si="9"/>
        <v>0.54574132492113503</v>
      </c>
      <c r="K55" s="29">
        <f t="shared" ca="1" si="9"/>
        <v>0.48738170347003101</v>
      </c>
      <c r="L55" s="29">
        <f t="shared" ca="1" si="9"/>
        <v>0.53627760252365897</v>
      </c>
      <c r="M55" s="29">
        <f t="shared" ca="1" si="9"/>
        <v>0.41009463722397399</v>
      </c>
      <c r="N55" s="29">
        <f t="shared" ca="1" si="9"/>
        <v>0.56531703590527105</v>
      </c>
      <c r="O55" s="29">
        <f t="shared" ca="1" si="9"/>
        <v>0.550517104216388</v>
      </c>
      <c r="P55" s="29">
        <f t="shared" ca="1" si="9"/>
        <v>0.52730375426621101</v>
      </c>
      <c r="Q55" s="29">
        <f t="shared" ca="1" si="9"/>
        <v>0.56619483763530298</v>
      </c>
      <c r="R55" s="29">
        <f t="shared" ca="1" si="9"/>
        <v>0.47706422018348599</v>
      </c>
    </row>
    <row r="56" spans="1:18" x14ac:dyDescent="0.25">
      <c r="A56" s="26">
        <f t="shared" si="11"/>
        <v>61</v>
      </c>
      <c r="B56" t="s">
        <v>33</v>
      </c>
      <c r="C56" t="s">
        <v>19</v>
      </c>
      <c r="D56" s="28">
        <f t="shared" ca="1" si="9"/>
        <v>0.56588072122052702</v>
      </c>
      <c r="E56" s="29">
        <f t="shared" ca="1" si="9"/>
        <v>0.62282878411910603</v>
      </c>
      <c r="F56" s="29">
        <f t="shared" ca="1" si="9"/>
        <v>0.62823061630218602</v>
      </c>
      <c r="G56" s="29">
        <f t="shared" ca="1" si="9"/>
        <v>0.60844529750479803</v>
      </c>
      <c r="H56" s="29">
        <f t="shared" ca="1" si="9"/>
        <v>0.581920903954802</v>
      </c>
      <c r="I56" s="29">
        <f t="shared" ca="1" si="9"/>
        <v>0.62480857580398097</v>
      </c>
      <c r="J56" s="29">
        <f t="shared" ca="1" si="9"/>
        <v>0.38437978560489999</v>
      </c>
      <c r="K56" s="29">
        <f t="shared" ca="1" si="9"/>
        <v>0.483920367534456</v>
      </c>
      <c r="L56" s="29">
        <f t="shared" ca="1" si="9"/>
        <v>0.48545176110260302</v>
      </c>
      <c r="M56" s="29">
        <f t="shared" ca="1" si="9"/>
        <v>0.47320061255742701</v>
      </c>
      <c r="N56" s="29">
        <f t="shared" ca="1" si="9"/>
        <v>0.59388646288209601</v>
      </c>
      <c r="O56" s="29">
        <f t="shared" ca="1" si="9"/>
        <v>0.47537878787878701</v>
      </c>
      <c r="P56" s="29">
        <f t="shared" ca="1" si="9"/>
        <v>0.54671280276816603</v>
      </c>
      <c r="Q56" s="29">
        <f t="shared" ca="1" si="9"/>
        <v>0.54003407155025496</v>
      </c>
      <c r="R56" s="29">
        <f t="shared" ca="1" si="9"/>
        <v>0.52195945945945899</v>
      </c>
    </row>
    <row r="57" spans="1:18" x14ac:dyDescent="0.25">
      <c r="A57" s="26">
        <f t="shared" si="11"/>
        <v>62</v>
      </c>
      <c r="B57" t="s">
        <v>33</v>
      </c>
      <c r="C57" t="s">
        <v>20</v>
      </c>
      <c r="D57" s="28">
        <f t="shared" ca="1" si="9"/>
        <v>0.57603092783505105</v>
      </c>
      <c r="E57" s="29">
        <f t="shared" ca="1" si="9"/>
        <v>0.65987460815047005</v>
      </c>
      <c r="F57" s="29">
        <f t="shared" ca="1" si="9"/>
        <v>0.72934973637961298</v>
      </c>
      <c r="G57" s="29">
        <f t="shared" ca="1" si="9"/>
        <v>0.60806451612903201</v>
      </c>
      <c r="H57" s="29">
        <f t="shared" ca="1" si="9"/>
        <v>0.65814696485623003</v>
      </c>
      <c r="I57" s="29">
        <f t="shared" ca="1" si="9"/>
        <v>0.66916167664670601</v>
      </c>
      <c r="J57" s="29">
        <f t="shared" ca="1" si="9"/>
        <v>0.630239520958083</v>
      </c>
      <c r="K57" s="29">
        <f t="shared" ca="1" si="9"/>
        <v>0.62125748502994005</v>
      </c>
      <c r="L57" s="29">
        <f t="shared" ca="1" si="9"/>
        <v>0.56437125748502903</v>
      </c>
      <c r="M57" s="29">
        <f t="shared" ca="1" si="9"/>
        <v>0.61676646706586802</v>
      </c>
      <c r="N57" s="29">
        <f t="shared" ca="1" si="9"/>
        <v>0.61911357340720197</v>
      </c>
      <c r="O57" s="29">
        <f t="shared" ca="1" si="9"/>
        <v>0.64471669218989203</v>
      </c>
      <c r="P57" s="29">
        <f t="shared" ca="1" si="9"/>
        <v>0.67097817299919105</v>
      </c>
      <c r="Q57" s="29">
        <f t="shared" ca="1" si="9"/>
        <v>0.58540372670807395</v>
      </c>
      <c r="R57" s="29">
        <f t="shared" ca="1" si="9"/>
        <v>0.63678516228748006</v>
      </c>
    </row>
    <row r="58" spans="1:18" x14ac:dyDescent="0.25">
      <c r="A58" s="26">
        <f t="shared" si="11"/>
        <v>63</v>
      </c>
      <c r="B58" t="s">
        <v>33</v>
      </c>
      <c r="C58" t="s">
        <v>21</v>
      </c>
      <c r="D58" s="28">
        <f t="shared" ca="1" si="9"/>
        <v>0.58798283261802498</v>
      </c>
      <c r="E58" s="29">
        <f t="shared" ca="1" si="9"/>
        <v>0.66045845272206305</v>
      </c>
      <c r="F58" s="29">
        <f t="shared" ca="1" si="9"/>
        <v>0.71878940731399699</v>
      </c>
      <c r="G58" s="29">
        <f t="shared" ca="1" si="9"/>
        <v>0.66546329723224995</v>
      </c>
      <c r="H58" s="29">
        <f t="shared" ca="1" si="9"/>
        <v>0.64055944055944003</v>
      </c>
      <c r="I58" s="29">
        <f t="shared" ca="1" si="9"/>
        <v>0.84307692307692295</v>
      </c>
      <c r="J58" s="29">
        <f t="shared" ca="1" si="9"/>
        <v>0.709230769230769</v>
      </c>
      <c r="K58" s="29">
        <f t="shared" ca="1" si="9"/>
        <v>0.87692307692307603</v>
      </c>
      <c r="L58" s="29">
        <f t="shared" ca="1" si="9"/>
        <v>0.85076923076922994</v>
      </c>
      <c r="M58" s="29">
        <f t="shared" ca="1" si="9"/>
        <v>0.70461538461538398</v>
      </c>
      <c r="N58" s="29">
        <f t="shared" ca="1" si="9"/>
        <v>0.692793931731984</v>
      </c>
      <c r="O58" s="29">
        <f t="shared" ca="1" si="9"/>
        <v>0.68397626112759602</v>
      </c>
      <c r="P58" s="29">
        <f t="shared" ca="1" si="9"/>
        <v>0.79002079002078995</v>
      </c>
      <c r="Q58" s="29">
        <f t="shared" ca="1" si="9"/>
        <v>0.74679270762997896</v>
      </c>
      <c r="R58" s="29">
        <f t="shared" ca="1" si="9"/>
        <v>0.67106227106227101</v>
      </c>
    </row>
    <row r="59" spans="1:18" x14ac:dyDescent="0.25">
      <c r="A59" s="26">
        <f>A58+2</f>
        <v>65</v>
      </c>
      <c r="B59" t="s">
        <v>34</v>
      </c>
      <c r="C59" t="s">
        <v>16</v>
      </c>
      <c r="D59" s="28">
        <f t="shared" ca="1" si="9"/>
        <v>0.49921996879875102</v>
      </c>
      <c r="E59" s="29">
        <f t="shared" ca="1" si="9"/>
        <v>0.51773049645390001</v>
      </c>
      <c r="F59" s="29">
        <f t="shared" ca="1" si="9"/>
        <v>0.531645569620253</v>
      </c>
      <c r="G59" s="29">
        <f t="shared" ca="1" si="9"/>
        <v>0.52941176470588203</v>
      </c>
      <c r="H59" s="29">
        <f t="shared" ca="1" si="9"/>
        <v>0.52791878172588802</v>
      </c>
      <c r="I59" s="29">
        <f t="shared" ca="1" si="9"/>
        <v>0.54607508532423199</v>
      </c>
      <c r="J59" s="29">
        <f t="shared" ca="1" si="9"/>
        <v>0.37372013651877101</v>
      </c>
      <c r="K59" s="29">
        <f t="shared" ca="1" si="9"/>
        <v>0.430034129692832</v>
      </c>
      <c r="L59" s="29">
        <f t="shared" ca="1" si="9"/>
        <v>0.39931740614334399</v>
      </c>
      <c r="M59" s="29">
        <f t="shared" ca="1" si="9"/>
        <v>0.35494880546075003</v>
      </c>
      <c r="N59" s="29">
        <f t="shared" ca="1" si="9"/>
        <v>0.52159739201303901</v>
      </c>
      <c r="O59" s="29">
        <f t="shared" ca="1" si="9"/>
        <v>0.43409316154608502</v>
      </c>
      <c r="P59" s="29">
        <f t="shared" ca="1" si="9"/>
        <v>0.475471698113207</v>
      </c>
      <c r="Q59" s="29">
        <f t="shared" ca="1" si="9"/>
        <v>0.45525291828793701</v>
      </c>
      <c r="R59" s="29">
        <f t="shared" ca="1" si="9"/>
        <v>0.424489795918367</v>
      </c>
    </row>
    <row r="60" spans="1:18" x14ac:dyDescent="0.25">
      <c r="A60" s="26">
        <f>A59+1</f>
        <v>66</v>
      </c>
      <c r="B60" t="s">
        <v>34</v>
      </c>
      <c r="C60" t="s">
        <v>17</v>
      </c>
      <c r="D60" s="28">
        <f t="shared" ca="1" si="9"/>
        <v>0.57909604519774005</v>
      </c>
      <c r="E60" s="29">
        <f t="shared" ca="1" si="9"/>
        <v>0.62369337979093997</v>
      </c>
      <c r="F60" s="29">
        <f t="shared" ca="1" si="9"/>
        <v>0.62033195020746801</v>
      </c>
      <c r="G60" s="29">
        <f t="shared" ca="1" si="9"/>
        <v>0.64991896272285199</v>
      </c>
      <c r="H60" s="29">
        <f t="shared" ca="1" si="9"/>
        <v>0.61689587426326098</v>
      </c>
      <c r="I60" s="29">
        <f t="shared" ca="1" si="9"/>
        <v>0.61746987951807197</v>
      </c>
      <c r="J60" s="29">
        <f t="shared" ca="1" si="9"/>
        <v>0.53915662650602403</v>
      </c>
      <c r="K60" s="29">
        <f t="shared" ca="1" si="9"/>
        <v>0.45030120481927699</v>
      </c>
      <c r="L60" s="29">
        <f t="shared" ca="1" si="9"/>
        <v>0.60391566265060204</v>
      </c>
      <c r="M60" s="29">
        <f t="shared" ca="1" si="9"/>
        <v>0.47289156626506001</v>
      </c>
      <c r="N60" s="29">
        <f t="shared" ca="1" si="9"/>
        <v>0.59766763848396498</v>
      </c>
      <c r="O60" s="29">
        <f t="shared" ca="1" si="9"/>
        <v>0.57835218093699503</v>
      </c>
      <c r="P60" s="29">
        <f t="shared" ca="1" si="9"/>
        <v>0.52181500872600295</v>
      </c>
      <c r="Q60" s="29">
        <f t="shared" ca="1" si="9"/>
        <v>0.62607338017173997</v>
      </c>
      <c r="R60" s="29">
        <f t="shared" ca="1" si="9"/>
        <v>0.535379369138959</v>
      </c>
    </row>
    <row r="61" spans="1:18" x14ac:dyDescent="0.25">
      <c r="A61" s="26">
        <f t="shared" ref="A61:A64" si="12">A60+1</f>
        <v>67</v>
      </c>
      <c r="B61" t="s">
        <v>34</v>
      </c>
      <c r="C61" t="s">
        <v>18</v>
      </c>
      <c r="D61" s="28">
        <f t="shared" ref="D61:R76" ca="1" si="13">INDIRECT("'"&amp;D$1&amp;"'!"&amp;D$2&amp;$A61)</f>
        <v>0.59815546772068495</v>
      </c>
      <c r="E61" s="29">
        <f t="shared" ca="1" si="13"/>
        <v>0.65365853658536499</v>
      </c>
      <c r="F61" s="29">
        <f t="shared" ca="1" si="13"/>
        <v>0.72545454545454502</v>
      </c>
      <c r="G61" s="29">
        <f t="shared" ca="1" si="13"/>
        <v>0.6875</v>
      </c>
      <c r="H61" s="29">
        <f t="shared" ca="1" si="13"/>
        <v>0.70700636942675099</v>
      </c>
      <c r="I61" s="29">
        <f t="shared" ca="1" si="13"/>
        <v>0.657018813314037</v>
      </c>
      <c r="J61" s="29">
        <f t="shared" ca="1" si="13"/>
        <v>0.58176555716353096</v>
      </c>
      <c r="K61" s="29">
        <f t="shared" ca="1" si="13"/>
        <v>0.57742402315484798</v>
      </c>
      <c r="L61" s="29">
        <f t="shared" ca="1" si="13"/>
        <v>0.44573082489146099</v>
      </c>
      <c r="M61" s="29">
        <f t="shared" ca="1" si="13"/>
        <v>0.48191027496382</v>
      </c>
      <c r="N61" s="29">
        <f t="shared" ca="1" si="13"/>
        <v>0.62620689655172401</v>
      </c>
      <c r="O61" s="29">
        <f t="shared" ca="1" si="13"/>
        <v>0.61562021439509895</v>
      </c>
      <c r="P61" s="29">
        <f t="shared" ca="1" si="13"/>
        <v>0.64302981466559195</v>
      </c>
      <c r="Q61" s="29">
        <f t="shared" ca="1" si="13"/>
        <v>0.54082528533801499</v>
      </c>
      <c r="R61" s="29">
        <f t="shared" ca="1" si="13"/>
        <v>0.57314974182444001</v>
      </c>
    </row>
    <row r="62" spans="1:18" x14ac:dyDescent="0.25">
      <c r="A62" s="26">
        <f t="shared" si="12"/>
        <v>68</v>
      </c>
      <c r="B62" t="s">
        <v>34</v>
      </c>
      <c r="C62" t="s">
        <v>19</v>
      </c>
      <c r="D62" s="28">
        <f t="shared" ca="1" si="13"/>
        <v>0.64675324675324597</v>
      </c>
      <c r="E62" s="29">
        <f t="shared" ca="1" si="13"/>
        <v>0.69835466179159</v>
      </c>
      <c r="F62" s="29">
        <f t="shared" ca="1" si="13"/>
        <v>0.77665995975855096</v>
      </c>
      <c r="G62" s="29">
        <f t="shared" ca="1" si="13"/>
        <v>0.79405940594059399</v>
      </c>
      <c r="H62" s="29">
        <f t="shared" ca="1" si="13"/>
        <v>0.772151898734177</v>
      </c>
      <c r="I62" s="29">
        <f t="shared" ca="1" si="13"/>
        <v>0.66047745358090104</v>
      </c>
      <c r="J62" s="29">
        <f t="shared" ca="1" si="13"/>
        <v>0.50663129973474796</v>
      </c>
      <c r="K62" s="29">
        <f t="shared" ca="1" si="13"/>
        <v>0.51193633952254602</v>
      </c>
      <c r="L62" s="29">
        <f t="shared" ca="1" si="13"/>
        <v>0.53183023872679003</v>
      </c>
      <c r="M62" s="29">
        <f t="shared" ca="1" si="13"/>
        <v>0.56631299734747997</v>
      </c>
      <c r="N62" s="29">
        <f t="shared" ca="1" si="13"/>
        <v>0.65354330708661401</v>
      </c>
      <c r="O62" s="29">
        <f t="shared" ca="1" si="13"/>
        <v>0.58724058416602598</v>
      </c>
      <c r="P62" s="29">
        <f t="shared" ca="1" si="13"/>
        <v>0.61710631494804102</v>
      </c>
      <c r="Q62" s="29">
        <f t="shared" ca="1" si="13"/>
        <v>0.63701350277998403</v>
      </c>
      <c r="R62" s="29">
        <f t="shared" ca="1" si="13"/>
        <v>0.65340474368783397</v>
      </c>
    </row>
    <row r="63" spans="1:18" x14ac:dyDescent="0.25">
      <c r="A63" s="26">
        <f t="shared" si="12"/>
        <v>69</v>
      </c>
      <c r="B63" t="s">
        <v>34</v>
      </c>
      <c r="C63" t="s">
        <v>20</v>
      </c>
      <c r="D63" s="28">
        <f t="shared" ca="1" si="13"/>
        <v>0.74087591240875905</v>
      </c>
      <c r="E63" s="29">
        <f t="shared" ca="1" si="13"/>
        <v>0.81411359724612697</v>
      </c>
      <c r="F63" s="29">
        <f t="shared" ca="1" si="13"/>
        <v>0.82216142270861803</v>
      </c>
      <c r="G63" s="29">
        <f t="shared" ca="1" si="13"/>
        <v>0.78437047756874101</v>
      </c>
      <c r="H63" s="29">
        <f t="shared" ca="1" si="13"/>
        <v>0.83403068340306796</v>
      </c>
      <c r="I63" s="29">
        <f t="shared" ca="1" si="13"/>
        <v>0.71731448763250805</v>
      </c>
      <c r="J63" s="29">
        <f t="shared" ca="1" si="13"/>
        <v>0.55712603062426302</v>
      </c>
      <c r="K63" s="29">
        <f t="shared" ca="1" si="13"/>
        <v>0.70789163722025905</v>
      </c>
      <c r="L63" s="29">
        <f t="shared" ca="1" si="13"/>
        <v>0.63839811542991698</v>
      </c>
      <c r="M63" s="29">
        <f t="shared" ca="1" si="13"/>
        <v>0.70435806831566505</v>
      </c>
      <c r="N63" s="29">
        <f t="shared" ca="1" si="13"/>
        <v>0.72890484739676797</v>
      </c>
      <c r="O63" s="29">
        <f t="shared" ca="1" si="13"/>
        <v>0.66153846153846096</v>
      </c>
      <c r="P63" s="29">
        <f t="shared" ca="1" si="13"/>
        <v>0.76075949367088602</v>
      </c>
      <c r="Q63" s="29">
        <f t="shared" ca="1" si="13"/>
        <v>0.70389610389610302</v>
      </c>
      <c r="R63" s="29">
        <f t="shared" ca="1" si="13"/>
        <v>0.763729246487867</v>
      </c>
    </row>
    <row r="64" spans="1:18" x14ac:dyDescent="0.25">
      <c r="A64" s="26">
        <f t="shared" si="12"/>
        <v>70</v>
      </c>
      <c r="B64" t="s">
        <v>34</v>
      </c>
      <c r="C64" t="s">
        <v>21</v>
      </c>
      <c r="D64" s="28">
        <f t="shared" ca="1" si="13"/>
        <v>0.75855689176688201</v>
      </c>
      <c r="E64" s="29">
        <f t="shared" ca="1" si="13"/>
        <v>0.96399535423925597</v>
      </c>
      <c r="F64" s="29">
        <f t="shared" ca="1" si="13"/>
        <v>0.94477085781433601</v>
      </c>
      <c r="G64" s="29">
        <f t="shared" ca="1" si="13"/>
        <v>0.95028248587570596</v>
      </c>
      <c r="H64" s="29">
        <f t="shared" ca="1" si="13"/>
        <v>0.9375</v>
      </c>
      <c r="I64" s="29">
        <f t="shared" ca="1" si="13"/>
        <v>0.96698113207547098</v>
      </c>
      <c r="J64" s="29">
        <f t="shared" ca="1" si="13"/>
        <v>0.97877358490566002</v>
      </c>
      <c r="K64" s="29">
        <f t="shared" ca="1" si="13"/>
        <v>0.94811320754716899</v>
      </c>
      <c r="L64" s="29">
        <f t="shared" ca="1" si="13"/>
        <v>0.991745283018867</v>
      </c>
      <c r="M64" s="29">
        <f t="shared" ca="1" si="13"/>
        <v>0.99056603773584895</v>
      </c>
      <c r="N64" s="29">
        <f t="shared" ca="1" si="13"/>
        <v>0.85018144116122296</v>
      </c>
      <c r="O64" s="29">
        <f t="shared" ca="1" si="13"/>
        <v>0.97132826214160295</v>
      </c>
      <c r="P64" s="29">
        <f t="shared" ca="1" si="13"/>
        <v>0.94643908181283098</v>
      </c>
      <c r="Q64" s="29">
        <f t="shared" ca="1" si="13"/>
        <v>0.97057126370455804</v>
      </c>
      <c r="R64" s="29">
        <f t="shared" ca="1" si="13"/>
        <v>0.96330275229357798</v>
      </c>
    </row>
    <row r="65" spans="1:18" x14ac:dyDescent="0.25">
      <c r="A65" s="26">
        <f>A64+2</f>
        <v>72</v>
      </c>
      <c r="B65" t="s">
        <v>35</v>
      </c>
      <c r="C65" t="s">
        <v>16</v>
      </c>
      <c r="D65" s="28">
        <f t="shared" ca="1" si="13"/>
        <v>0.48919753086419698</v>
      </c>
      <c r="E65" s="29">
        <f t="shared" ca="1" si="13"/>
        <v>0.51150442477876101</v>
      </c>
      <c r="F65" s="29">
        <f t="shared" ca="1" si="13"/>
        <v>0.50528169014084501</v>
      </c>
      <c r="G65" s="29">
        <f t="shared" ca="1" si="13"/>
        <v>0.52380952380952295</v>
      </c>
      <c r="H65" s="29">
        <f t="shared" ca="1" si="13"/>
        <v>0.52836879432624095</v>
      </c>
      <c r="I65" s="29">
        <f t="shared" ca="1" si="13"/>
        <v>0.56106194690265399</v>
      </c>
      <c r="J65" s="29">
        <f t="shared" ca="1" si="13"/>
        <v>0.51150442477876101</v>
      </c>
      <c r="K65" s="29">
        <f t="shared" ca="1" si="13"/>
        <v>0.50796460176991098</v>
      </c>
      <c r="L65" s="29">
        <f t="shared" ca="1" si="13"/>
        <v>0.52566371681415902</v>
      </c>
      <c r="M65" s="29">
        <f t="shared" ca="1" si="13"/>
        <v>0.52743362831858398</v>
      </c>
      <c r="N65" s="29">
        <f t="shared" ca="1" si="13"/>
        <v>0.52267106347897696</v>
      </c>
      <c r="O65" s="29">
        <f t="shared" ca="1" si="13"/>
        <v>0.51150442477876101</v>
      </c>
      <c r="P65" s="29">
        <f t="shared" ca="1" si="13"/>
        <v>0.50661959399823397</v>
      </c>
      <c r="Q65" s="29">
        <f t="shared" ca="1" si="13"/>
        <v>0.52473498233215499</v>
      </c>
      <c r="R65" s="29">
        <f t="shared" ca="1" si="13"/>
        <v>0.52790079716563298</v>
      </c>
    </row>
    <row r="66" spans="1:18" x14ac:dyDescent="0.25">
      <c r="A66" s="26">
        <f>A65+1</f>
        <v>73</v>
      </c>
      <c r="B66" t="s">
        <v>35</v>
      </c>
      <c r="C66" t="s">
        <v>17</v>
      </c>
      <c r="D66" s="28">
        <f t="shared" ca="1" si="13"/>
        <v>0.53111432706222805</v>
      </c>
      <c r="E66" s="29">
        <f t="shared" ca="1" si="13"/>
        <v>0.51299589603283102</v>
      </c>
      <c r="F66" s="29">
        <f t="shared" ca="1" si="13"/>
        <v>0.52532561505065101</v>
      </c>
      <c r="G66" s="29">
        <f t="shared" ca="1" si="13"/>
        <v>0.52631578947368396</v>
      </c>
      <c r="H66" s="29">
        <f t="shared" ca="1" si="13"/>
        <v>0.52442528735632099</v>
      </c>
      <c r="I66" s="29">
        <f t="shared" ca="1" si="13"/>
        <v>0.61474036850921199</v>
      </c>
      <c r="J66" s="29">
        <f t="shared" ca="1" si="13"/>
        <v>0.62814070351758799</v>
      </c>
      <c r="K66" s="29">
        <f t="shared" ca="1" si="13"/>
        <v>0.60804020100502498</v>
      </c>
      <c r="L66" s="29">
        <f t="shared" ca="1" si="13"/>
        <v>0.552763819095477</v>
      </c>
      <c r="M66" s="29">
        <f t="shared" ca="1" si="13"/>
        <v>0.61139028475711799</v>
      </c>
      <c r="N66" s="29">
        <f t="shared" ca="1" si="13"/>
        <v>0.56987577639751497</v>
      </c>
      <c r="O66" s="29">
        <f t="shared" ca="1" si="13"/>
        <v>0.56475903614457801</v>
      </c>
      <c r="P66" s="29">
        <f t="shared" ca="1" si="13"/>
        <v>0.56366459627329102</v>
      </c>
      <c r="Q66" s="29">
        <f t="shared" ca="1" si="13"/>
        <v>0.539215686274509</v>
      </c>
      <c r="R66" s="29">
        <f t="shared" ca="1" si="13"/>
        <v>0.56457849961330198</v>
      </c>
    </row>
    <row r="67" spans="1:18" x14ac:dyDescent="0.25">
      <c r="A67" s="26">
        <f t="shared" ref="A67:A70" si="14">A66+1</f>
        <v>74</v>
      </c>
      <c r="B67" t="s">
        <v>35</v>
      </c>
      <c r="C67" t="s">
        <v>18</v>
      </c>
      <c r="D67" s="28">
        <f t="shared" ca="1" si="13"/>
        <v>0.51719197707736297</v>
      </c>
      <c r="E67" s="29">
        <f t="shared" ca="1" si="13"/>
        <v>0.503571428571428</v>
      </c>
      <c r="F67" s="29">
        <f t="shared" ca="1" si="13"/>
        <v>0.52500000000000002</v>
      </c>
      <c r="G67" s="29">
        <f t="shared" ca="1" si="13"/>
        <v>0.53382533825338196</v>
      </c>
      <c r="H67" s="29">
        <f t="shared" ca="1" si="13"/>
        <v>0.500725689404934</v>
      </c>
      <c r="I67" s="29">
        <f t="shared" ca="1" si="13"/>
        <v>0.61921097770154299</v>
      </c>
      <c r="J67" s="29">
        <f t="shared" ca="1" si="13"/>
        <v>0.483704974271012</v>
      </c>
      <c r="K67" s="29">
        <f t="shared" ca="1" si="13"/>
        <v>0.57632933104631201</v>
      </c>
      <c r="L67" s="29">
        <f t="shared" ca="1" si="13"/>
        <v>0.744425385934819</v>
      </c>
      <c r="M67" s="29">
        <f t="shared" ca="1" si="13"/>
        <v>0.59176672384219497</v>
      </c>
      <c r="N67" s="29">
        <f t="shared" ca="1" si="13"/>
        <v>0.56362217017954697</v>
      </c>
      <c r="O67" s="29">
        <f t="shared" ca="1" si="13"/>
        <v>0.49343832020997302</v>
      </c>
      <c r="P67" s="29">
        <f t="shared" ca="1" si="13"/>
        <v>0.54946852003270596</v>
      </c>
      <c r="Q67" s="29">
        <f t="shared" ca="1" si="13"/>
        <v>0.62177650429799403</v>
      </c>
      <c r="R67" s="29">
        <f t="shared" ca="1" si="13"/>
        <v>0.54245283018867896</v>
      </c>
    </row>
    <row r="68" spans="1:18" x14ac:dyDescent="0.25">
      <c r="A68" s="26">
        <f t="shared" si="14"/>
        <v>75</v>
      </c>
      <c r="B68" t="s">
        <v>35</v>
      </c>
      <c r="C68" t="s">
        <v>19</v>
      </c>
      <c r="D68" s="28">
        <f t="shared" ca="1" si="13"/>
        <v>0.49728997289972898</v>
      </c>
      <c r="E68" s="29">
        <f t="shared" ca="1" si="13"/>
        <v>0.53875968992248002</v>
      </c>
      <c r="F68" s="29">
        <f t="shared" ca="1" si="13"/>
        <v>0.52434456928838902</v>
      </c>
      <c r="G68" s="29">
        <f t="shared" ca="1" si="13"/>
        <v>0.50567260940032399</v>
      </c>
      <c r="H68" s="29">
        <f t="shared" ca="1" si="13"/>
        <v>0.43877551020408101</v>
      </c>
      <c r="I68" s="29">
        <f t="shared" ca="1" si="13"/>
        <v>0.650709219858156</v>
      </c>
      <c r="J68" s="29">
        <f t="shared" ca="1" si="13"/>
        <v>0.49290780141843898</v>
      </c>
      <c r="K68" s="29">
        <f t="shared" ca="1" si="13"/>
        <v>0.49645390070921902</v>
      </c>
      <c r="L68" s="29">
        <f t="shared" ca="1" si="13"/>
        <v>0.55319148936170204</v>
      </c>
      <c r="M68" s="29">
        <f t="shared" ca="1" si="13"/>
        <v>0.45744680851063801</v>
      </c>
      <c r="N68" s="29">
        <f t="shared" ca="1" si="13"/>
        <v>0.56374807987711195</v>
      </c>
      <c r="O68" s="29">
        <f t="shared" ca="1" si="13"/>
        <v>0.51481481481481395</v>
      </c>
      <c r="P68" s="29">
        <f t="shared" ca="1" si="13"/>
        <v>0.51001821493624699</v>
      </c>
      <c r="Q68" s="29">
        <f t="shared" ca="1" si="13"/>
        <v>0.52836579170194697</v>
      </c>
      <c r="R68" s="29">
        <f t="shared" ca="1" si="13"/>
        <v>0.44791666666666602</v>
      </c>
    </row>
    <row r="69" spans="1:18" x14ac:dyDescent="0.25">
      <c r="A69" s="26">
        <f t="shared" si="14"/>
        <v>76</v>
      </c>
      <c r="B69" t="s">
        <v>35</v>
      </c>
      <c r="C69" t="s">
        <v>20</v>
      </c>
      <c r="D69" s="28">
        <f t="shared" ca="1" si="13"/>
        <v>0.44846050870147203</v>
      </c>
      <c r="E69" s="29">
        <f t="shared" ca="1" si="13"/>
        <v>0.46140035906642701</v>
      </c>
      <c r="F69" s="29">
        <f t="shared" ca="1" si="13"/>
        <v>0.448015122873345</v>
      </c>
      <c r="G69" s="29">
        <f t="shared" ca="1" si="13"/>
        <v>0.49348230912476698</v>
      </c>
      <c r="H69" s="29">
        <f t="shared" ca="1" si="13"/>
        <v>0.46787148594377498</v>
      </c>
      <c r="I69" s="29">
        <f t="shared" ca="1" si="13"/>
        <v>0.61808118081180796</v>
      </c>
      <c r="J69" s="29">
        <f t="shared" ca="1" si="13"/>
        <v>0.47416974169741699</v>
      </c>
      <c r="K69" s="29">
        <f t="shared" ca="1" si="13"/>
        <v>0.43726937269372601</v>
      </c>
      <c r="L69" s="29">
        <f t="shared" ca="1" si="13"/>
        <v>0.48892988929889297</v>
      </c>
      <c r="M69" s="29">
        <f t="shared" ca="1" si="13"/>
        <v>0.42988929889298799</v>
      </c>
      <c r="N69" s="29">
        <f t="shared" ca="1" si="13"/>
        <v>0.51978277734678002</v>
      </c>
      <c r="O69" s="29">
        <f t="shared" ca="1" si="13"/>
        <v>0.46769790718835302</v>
      </c>
      <c r="P69" s="29">
        <f t="shared" ca="1" si="13"/>
        <v>0.44257703081232402</v>
      </c>
      <c r="Q69" s="29">
        <f t="shared" ca="1" si="13"/>
        <v>0.491195551436515</v>
      </c>
      <c r="R69" s="29">
        <f t="shared" ca="1" si="13"/>
        <v>0.44807692307692298</v>
      </c>
    </row>
    <row r="70" spans="1:18" x14ac:dyDescent="0.25">
      <c r="A70" s="26">
        <f t="shared" si="14"/>
        <v>77</v>
      </c>
      <c r="B70" t="s">
        <v>35</v>
      </c>
      <c r="C70" t="s">
        <v>21</v>
      </c>
      <c r="D70" s="28">
        <f t="shared" ca="1" si="13"/>
        <v>0.46103896103896103</v>
      </c>
      <c r="E70" s="29">
        <f t="shared" ca="1" si="13"/>
        <v>0.53460972017673003</v>
      </c>
      <c r="F70" s="29">
        <f t="shared" ca="1" si="13"/>
        <v>0.64048865619546202</v>
      </c>
      <c r="G70" s="29">
        <f t="shared" ca="1" si="13"/>
        <v>0.54025044722719096</v>
      </c>
      <c r="H70" s="29">
        <f t="shared" ca="1" si="13"/>
        <v>0.62948960302457402</v>
      </c>
      <c r="I70" s="29">
        <f t="shared" ca="1" si="13"/>
        <v>0.68665377176015396</v>
      </c>
      <c r="J70" s="29">
        <f t="shared" ca="1" si="13"/>
        <v>0.70212765957446799</v>
      </c>
      <c r="K70" s="29">
        <f t="shared" ca="1" si="13"/>
        <v>0.70986460348162395</v>
      </c>
      <c r="L70" s="29">
        <f t="shared" ca="1" si="13"/>
        <v>0.58413926499032798</v>
      </c>
      <c r="M70" s="29">
        <f t="shared" ca="1" si="13"/>
        <v>0.64410058027079298</v>
      </c>
      <c r="N70" s="29">
        <f t="shared" ca="1" si="13"/>
        <v>0.55167055167055101</v>
      </c>
      <c r="O70" s="29">
        <f t="shared" ca="1" si="13"/>
        <v>0.60702341137123705</v>
      </c>
      <c r="P70" s="29">
        <f t="shared" ca="1" si="13"/>
        <v>0.67339449541284402</v>
      </c>
      <c r="Q70" s="29">
        <f t="shared" ca="1" si="13"/>
        <v>0.56133828996282498</v>
      </c>
      <c r="R70" s="29">
        <f t="shared" ca="1" si="13"/>
        <v>0.63671128107074504</v>
      </c>
    </row>
    <row r="71" spans="1:18" x14ac:dyDescent="0.25">
      <c r="A71" s="26">
        <f>A70+2</f>
        <v>79</v>
      </c>
      <c r="B71" t="s">
        <v>36</v>
      </c>
      <c r="C71" t="s">
        <v>16</v>
      </c>
      <c r="D71" s="28">
        <f t="shared" ca="1" si="13"/>
        <v>0.49694189602446398</v>
      </c>
      <c r="E71" s="29">
        <f t="shared" ca="1" si="13"/>
        <v>0.50670640834575198</v>
      </c>
      <c r="F71" s="29">
        <f t="shared" ca="1" si="13"/>
        <v>0.50596252129471797</v>
      </c>
      <c r="G71" s="29">
        <f t="shared" ca="1" si="13"/>
        <v>0.51270553064275004</v>
      </c>
      <c r="H71" s="29">
        <f t="shared" ca="1" si="13"/>
        <v>0.50534351145038103</v>
      </c>
      <c r="I71" s="29">
        <f t="shared" ca="1" si="13"/>
        <v>0.57218309859154903</v>
      </c>
      <c r="J71" s="29">
        <f t="shared" ca="1" si="13"/>
        <v>0.59859154929577396</v>
      </c>
      <c r="K71" s="29">
        <f t="shared" ca="1" si="13"/>
        <v>0.522887323943662</v>
      </c>
      <c r="L71" s="29">
        <f t="shared" ca="1" si="13"/>
        <v>0.60387323943661897</v>
      </c>
      <c r="M71" s="29">
        <f t="shared" ca="1" si="13"/>
        <v>0.58274647887323905</v>
      </c>
      <c r="N71" s="29">
        <f t="shared" ca="1" si="13"/>
        <v>0.53191489361702105</v>
      </c>
      <c r="O71" s="29">
        <f t="shared" ca="1" si="13"/>
        <v>0.54882970137207399</v>
      </c>
      <c r="P71" s="29">
        <f t="shared" ca="1" si="13"/>
        <v>0.51428571428571401</v>
      </c>
      <c r="Q71" s="29">
        <f t="shared" ca="1" si="13"/>
        <v>0.55456750202101801</v>
      </c>
      <c r="R71" s="29">
        <f t="shared" ca="1" si="13"/>
        <v>0.54129190515126702</v>
      </c>
    </row>
    <row r="72" spans="1:18" x14ac:dyDescent="0.25">
      <c r="A72" s="26">
        <f>A71+1</f>
        <v>80</v>
      </c>
      <c r="B72" t="s">
        <v>36</v>
      </c>
      <c r="C72" t="s">
        <v>17</v>
      </c>
      <c r="D72" s="28">
        <f t="shared" ca="1" si="13"/>
        <v>0.527932960893854</v>
      </c>
      <c r="E72" s="29">
        <f t="shared" ca="1" si="13"/>
        <v>0.54796511627906896</v>
      </c>
      <c r="F72" s="29">
        <f t="shared" ca="1" si="13"/>
        <v>0.525101763907734</v>
      </c>
      <c r="G72" s="29">
        <f t="shared" ca="1" si="13"/>
        <v>0.53497942386831199</v>
      </c>
      <c r="H72" s="29">
        <f t="shared" ca="1" si="13"/>
        <v>0.54523227383863004</v>
      </c>
      <c r="I72" s="29">
        <f t="shared" ca="1" si="13"/>
        <v>0.61663947797716101</v>
      </c>
      <c r="J72" s="29">
        <f t="shared" ca="1" si="13"/>
        <v>0.61500815660685104</v>
      </c>
      <c r="K72" s="29">
        <f t="shared" ca="1" si="13"/>
        <v>0.63132137030995095</v>
      </c>
      <c r="L72" s="29">
        <f t="shared" ca="1" si="13"/>
        <v>0.63621533442088096</v>
      </c>
      <c r="M72" s="29">
        <f t="shared" ca="1" si="13"/>
        <v>0.72756933115823796</v>
      </c>
      <c r="N72" s="29">
        <f t="shared" ca="1" si="13"/>
        <v>0.56884875846501104</v>
      </c>
      <c r="O72" s="29">
        <f t="shared" ca="1" si="13"/>
        <v>0.57955418908531897</v>
      </c>
      <c r="P72" s="29">
        <f t="shared" ca="1" si="13"/>
        <v>0.57333333333333303</v>
      </c>
      <c r="Q72" s="29">
        <f t="shared" ca="1" si="13"/>
        <v>0.58122205663189197</v>
      </c>
      <c r="R72" s="29">
        <f t="shared" ca="1" si="13"/>
        <v>0.62334032145352902</v>
      </c>
    </row>
    <row r="73" spans="1:18" x14ac:dyDescent="0.25">
      <c r="A73" s="26">
        <f t="shared" ref="A73:A76" si="15">A72+1</f>
        <v>81</v>
      </c>
      <c r="B73" t="s">
        <v>36</v>
      </c>
      <c r="C73" t="s">
        <v>18</v>
      </c>
      <c r="D73" s="28">
        <f t="shared" ca="1" si="13"/>
        <v>0.53658536585365801</v>
      </c>
      <c r="E73" s="29">
        <f t="shared" ca="1" si="13"/>
        <v>0.50974025974025905</v>
      </c>
      <c r="F73" s="29">
        <f t="shared" ca="1" si="13"/>
        <v>0.55286624203821599</v>
      </c>
      <c r="G73" s="29">
        <f t="shared" ca="1" si="13"/>
        <v>0.54736842105263095</v>
      </c>
      <c r="H73" s="29">
        <f t="shared" ca="1" si="13"/>
        <v>0.53871681415929196</v>
      </c>
      <c r="I73" s="29">
        <f t="shared" ca="1" si="13"/>
        <v>0.65562913907284703</v>
      </c>
      <c r="J73" s="29">
        <f t="shared" ca="1" si="13"/>
        <v>0.51986754966887405</v>
      </c>
      <c r="K73" s="29">
        <f t="shared" ca="1" si="13"/>
        <v>0.71854304635761501</v>
      </c>
      <c r="L73" s="29">
        <f t="shared" ca="1" si="13"/>
        <v>0.86092715231787997</v>
      </c>
      <c r="M73" s="29">
        <f t="shared" ca="1" si="13"/>
        <v>0.806291390728476</v>
      </c>
      <c r="N73" s="29">
        <f t="shared" ca="1" si="13"/>
        <v>0.59016393442622905</v>
      </c>
      <c r="O73" s="29">
        <f t="shared" ca="1" si="13"/>
        <v>0.514754098360655</v>
      </c>
      <c r="P73" s="29">
        <f t="shared" ca="1" si="13"/>
        <v>0.62491000719942402</v>
      </c>
      <c r="Q73" s="29">
        <f t="shared" ca="1" si="13"/>
        <v>0.66924066924066905</v>
      </c>
      <c r="R73" s="29">
        <f t="shared" ca="1" si="13"/>
        <v>0.64588859416445599</v>
      </c>
    </row>
    <row r="74" spans="1:18" x14ac:dyDescent="0.25">
      <c r="A74" s="26">
        <f t="shared" si="15"/>
        <v>82</v>
      </c>
      <c r="B74" t="s">
        <v>36</v>
      </c>
      <c r="C74" t="s">
        <v>19</v>
      </c>
      <c r="D74" s="28">
        <f t="shared" ca="1" si="13"/>
        <v>0.53894472361808998</v>
      </c>
      <c r="E74" s="29">
        <f t="shared" ca="1" si="13"/>
        <v>0.55907429963459199</v>
      </c>
      <c r="F74" s="29">
        <f t="shared" ca="1" si="13"/>
        <v>0.54694835680751097</v>
      </c>
      <c r="G74" s="29">
        <f t="shared" ca="1" si="13"/>
        <v>0.55723270440251504</v>
      </c>
      <c r="H74" s="29">
        <f t="shared" ca="1" si="13"/>
        <v>0.57418699186991795</v>
      </c>
      <c r="I74" s="29">
        <f t="shared" ca="1" si="13"/>
        <v>0.69983686786296895</v>
      </c>
      <c r="J74" s="29">
        <f t="shared" ca="1" si="13"/>
        <v>0.748776508972267</v>
      </c>
      <c r="K74" s="29">
        <f t="shared" ca="1" si="13"/>
        <v>0.760195758564437</v>
      </c>
      <c r="L74" s="29">
        <f t="shared" ca="1" si="13"/>
        <v>0.72267536704730795</v>
      </c>
      <c r="M74" s="29">
        <f t="shared" ca="1" si="13"/>
        <v>0.92169657422512197</v>
      </c>
      <c r="N74" s="29">
        <f t="shared" ca="1" si="13"/>
        <v>0.60894251242015596</v>
      </c>
      <c r="O74" s="29">
        <f t="shared" ca="1" si="13"/>
        <v>0.64016736401673602</v>
      </c>
      <c r="P74" s="29">
        <f t="shared" ca="1" si="13"/>
        <v>0.63617747440272998</v>
      </c>
      <c r="Q74" s="29">
        <f t="shared" ca="1" si="13"/>
        <v>0.62926136363636298</v>
      </c>
      <c r="R74" s="29">
        <f t="shared" ca="1" si="13"/>
        <v>0.70757670632435798</v>
      </c>
    </row>
    <row r="75" spans="1:18" x14ac:dyDescent="0.25">
      <c r="A75" s="26">
        <f t="shared" si="15"/>
        <v>83</v>
      </c>
      <c r="B75" t="s">
        <v>36</v>
      </c>
      <c r="C75" t="s">
        <v>20</v>
      </c>
      <c r="D75" s="28">
        <f t="shared" ca="1" si="13"/>
        <v>0.45376078914919799</v>
      </c>
      <c r="E75" s="29">
        <f t="shared" ca="1" si="13"/>
        <v>0.43951612903225801</v>
      </c>
      <c r="F75" s="29">
        <f t="shared" ca="1" si="13"/>
        <v>0.40988835725677802</v>
      </c>
      <c r="G75" s="29">
        <f t="shared" ca="1" si="13"/>
        <v>0.46707503828483898</v>
      </c>
      <c r="H75" s="29">
        <f t="shared" ca="1" si="13"/>
        <v>0.39593301435406603</v>
      </c>
      <c r="I75" s="29">
        <f t="shared" ca="1" si="13"/>
        <v>0.75564681724845995</v>
      </c>
      <c r="J75" s="29">
        <f t="shared" ca="1" si="13"/>
        <v>0.44763860369609798</v>
      </c>
      <c r="K75" s="29">
        <f t="shared" ca="1" si="13"/>
        <v>0.52772073921971197</v>
      </c>
      <c r="L75" s="29">
        <f t="shared" ca="1" si="13"/>
        <v>0.62628336755646796</v>
      </c>
      <c r="M75" s="29">
        <f t="shared" ca="1" si="13"/>
        <v>0.67967145790554395</v>
      </c>
      <c r="N75" s="29">
        <f t="shared" ca="1" si="13"/>
        <v>0.56702619414483801</v>
      </c>
      <c r="O75" s="29">
        <f t="shared" ca="1" si="13"/>
        <v>0.44354018311291898</v>
      </c>
      <c r="P75" s="29">
        <f t="shared" ca="1" si="13"/>
        <v>0.46140035906642701</v>
      </c>
      <c r="Q75" s="29">
        <f t="shared" ca="1" si="13"/>
        <v>0.53508771929824495</v>
      </c>
      <c r="R75" s="29">
        <f t="shared" ca="1" si="13"/>
        <v>0.50037792894935695</v>
      </c>
    </row>
    <row r="76" spans="1:18" x14ac:dyDescent="0.25">
      <c r="A76" s="26">
        <f t="shared" si="15"/>
        <v>84</v>
      </c>
      <c r="B76" t="s">
        <v>36</v>
      </c>
      <c r="C76" t="s">
        <v>21</v>
      </c>
      <c r="D76" s="28">
        <f t="shared" ca="1" si="13"/>
        <v>0.30559757942511301</v>
      </c>
      <c r="E76" s="29">
        <f t="shared" ca="1" si="13"/>
        <v>0.42971887550200799</v>
      </c>
      <c r="F76" s="29">
        <f t="shared" ca="1" si="13"/>
        <v>0.40243902439024298</v>
      </c>
      <c r="G76" s="29">
        <f t="shared" ca="1" si="13"/>
        <v>0.40301724137931</v>
      </c>
      <c r="H76" s="29">
        <f t="shared" ca="1" si="13"/>
        <v>0.43055555555555503</v>
      </c>
      <c r="I76" s="29">
        <f t="shared" ca="1" si="13"/>
        <v>0.893805309734513</v>
      </c>
      <c r="J76" s="29">
        <f t="shared" ca="1" si="13"/>
        <v>0.946902654867256</v>
      </c>
      <c r="K76" s="29">
        <f t="shared" ca="1" si="13"/>
        <v>0.87610619469026496</v>
      </c>
      <c r="L76" s="29">
        <f t="shared" ca="1" si="13"/>
        <v>0.82743362831858402</v>
      </c>
      <c r="M76" s="29">
        <f t="shared" ca="1" si="13"/>
        <v>0.96017699115044197</v>
      </c>
      <c r="N76" s="29">
        <f t="shared" ca="1" si="13"/>
        <v>0.45546786922209598</v>
      </c>
      <c r="O76" s="29">
        <f t="shared" ca="1" si="13"/>
        <v>0.59116022099447496</v>
      </c>
      <c r="P76" s="29">
        <f t="shared" ca="1" si="13"/>
        <v>0.55153203342618295</v>
      </c>
      <c r="Q76" s="29">
        <f t="shared" ca="1" si="13"/>
        <v>0.54202898550724599</v>
      </c>
      <c r="R76" s="29">
        <f t="shared" ca="1" si="13"/>
        <v>0.59452054794520504</v>
      </c>
    </row>
  </sheetData>
  <pageMargins left="0.7" right="0.7" top="0.75" bottom="0.75" header="0.3" footer="0.3"/>
  <pageSetup paperSize="9" orientation="portrait" r:id="rId1"/>
  <ignoredErrors>
    <ignoredError sqref="A17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D467B-9195-4F55-AF9D-595C63D37BB3}">
  <sheetPr codeName="Sheet5">
    <tabColor theme="5" tint="0.59999389629810485"/>
  </sheetPr>
  <dimension ref="A1:Q91"/>
  <sheetViews>
    <sheetView workbookViewId="0"/>
  </sheetViews>
  <sheetFormatPr defaultRowHeight="15" x14ac:dyDescent="0.25"/>
  <sheetData>
    <row r="1" spans="1:17" x14ac:dyDescent="0.25">
      <c r="A1" s="2" t="s">
        <v>90</v>
      </c>
    </row>
    <row r="3" spans="1:17" x14ac:dyDescent="0.25">
      <c r="A3" s="23" t="s">
        <v>91</v>
      </c>
      <c r="Q3" s="1"/>
    </row>
    <row r="4" spans="1:17" x14ac:dyDescent="0.25">
      <c r="A4" s="23" t="s">
        <v>92</v>
      </c>
      <c r="Q4" s="1"/>
    </row>
    <row r="5" spans="1:17" x14ac:dyDescent="0.25">
      <c r="A5" s="23" t="s">
        <v>93</v>
      </c>
      <c r="Q5" s="1"/>
    </row>
    <row r="6" spans="1:17" x14ac:dyDescent="0.25">
      <c r="A6" s="23" t="s">
        <v>94</v>
      </c>
      <c r="Q6" s="1"/>
    </row>
    <row r="7" spans="1:17" x14ac:dyDescent="0.25">
      <c r="A7" s="23" t="s">
        <v>95</v>
      </c>
      <c r="Q7" s="1"/>
    </row>
    <row r="8" spans="1:17" x14ac:dyDescent="0.25">
      <c r="A8" s="23" t="s">
        <v>96</v>
      </c>
      <c r="Q8" s="1"/>
    </row>
    <row r="9" spans="1:17" x14ac:dyDescent="0.25">
      <c r="A9" s="23" t="s">
        <v>108</v>
      </c>
      <c r="Q9" s="1"/>
    </row>
    <row r="10" spans="1:17" x14ac:dyDescent="0.25">
      <c r="A10" s="23" t="s">
        <v>109</v>
      </c>
      <c r="Q10" s="1"/>
    </row>
    <row r="11" spans="1:17" x14ac:dyDescent="0.25">
      <c r="A11" s="23" t="s">
        <v>110</v>
      </c>
      <c r="Q11" s="1"/>
    </row>
    <row r="12" spans="1:17" x14ac:dyDescent="0.25">
      <c r="A12" s="23" t="s">
        <v>111</v>
      </c>
      <c r="Q12" s="1"/>
    </row>
    <row r="13" spans="1:17" x14ac:dyDescent="0.25">
      <c r="A13" s="23" t="s">
        <v>112</v>
      </c>
      <c r="Q13" s="1"/>
    </row>
    <row r="14" spans="1:17" x14ac:dyDescent="0.25">
      <c r="A14" s="23" t="s">
        <v>113</v>
      </c>
      <c r="Q14" s="1"/>
    </row>
    <row r="15" spans="1:17" x14ac:dyDescent="0.25">
      <c r="A15" s="23" t="s">
        <v>97</v>
      </c>
      <c r="Q15" s="1"/>
    </row>
    <row r="16" spans="1:17" x14ac:dyDescent="0.25">
      <c r="A16" s="23" t="s">
        <v>114</v>
      </c>
      <c r="Q16" s="1"/>
    </row>
    <row r="17" spans="1:17" x14ac:dyDescent="0.25">
      <c r="A17" s="23" t="s">
        <v>115</v>
      </c>
      <c r="Q17" s="1"/>
    </row>
    <row r="18" spans="1:17" x14ac:dyDescent="0.25">
      <c r="A18" s="23" t="s">
        <v>116</v>
      </c>
      <c r="Q18" s="1"/>
    </row>
    <row r="19" spans="1:17" x14ac:dyDescent="0.25">
      <c r="A19" s="23" t="s">
        <v>117</v>
      </c>
      <c r="Q19" s="1"/>
    </row>
    <row r="20" spans="1:17" x14ac:dyDescent="0.25">
      <c r="A20" s="23" t="s">
        <v>118</v>
      </c>
      <c r="Q20" s="1"/>
    </row>
    <row r="21" spans="1:17" x14ac:dyDescent="0.25">
      <c r="A21" s="23" t="s">
        <v>119</v>
      </c>
      <c r="Q21" s="1"/>
    </row>
    <row r="22" spans="1:17" x14ac:dyDescent="0.25">
      <c r="A22" s="23" t="s">
        <v>98</v>
      </c>
      <c r="Q22" s="1"/>
    </row>
    <row r="23" spans="1:17" x14ac:dyDescent="0.25">
      <c r="A23" s="23" t="s">
        <v>120</v>
      </c>
      <c r="Q23" s="1"/>
    </row>
    <row r="24" spans="1:17" x14ac:dyDescent="0.25">
      <c r="A24" s="23" t="s">
        <v>121</v>
      </c>
      <c r="Q24" s="1"/>
    </row>
    <row r="25" spans="1:17" x14ac:dyDescent="0.25">
      <c r="A25" s="23" t="s">
        <v>122</v>
      </c>
      <c r="Q25" s="1"/>
    </row>
    <row r="26" spans="1:17" x14ac:dyDescent="0.25">
      <c r="A26" s="23" t="s">
        <v>123</v>
      </c>
      <c r="Q26" s="1"/>
    </row>
    <row r="27" spans="1:17" x14ac:dyDescent="0.25">
      <c r="A27" s="23" t="s">
        <v>124</v>
      </c>
      <c r="Q27" s="1"/>
    </row>
    <row r="28" spans="1:17" x14ac:dyDescent="0.25">
      <c r="A28" s="23" t="s">
        <v>125</v>
      </c>
      <c r="Q28" s="1"/>
    </row>
    <row r="29" spans="1:17" x14ac:dyDescent="0.25">
      <c r="A29" s="23" t="s">
        <v>99</v>
      </c>
      <c r="Q29" s="1"/>
    </row>
    <row r="30" spans="1:17" x14ac:dyDescent="0.25">
      <c r="A30" s="23" t="s">
        <v>126</v>
      </c>
      <c r="Q30" s="1"/>
    </row>
    <row r="31" spans="1:17" x14ac:dyDescent="0.25">
      <c r="A31" s="23" t="s">
        <v>127</v>
      </c>
      <c r="Q31" s="1"/>
    </row>
    <row r="32" spans="1:17" x14ac:dyDescent="0.25">
      <c r="A32" s="23" t="s">
        <v>128</v>
      </c>
      <c r="Q32" s="1"/>
    </row>
    <row r="33" spans="1:17" x14ac:dyDescent="0.25">
      <c r="A33" s="23" t="s">
        <v>129</v>
      </c>
      <c r="Q33" s="1"/>
    </row>
    <row r="34" spans="1:17" x14ac:dyDescent="0.25">
      <c r="A34" s="23" t="s">
        <v>130</v>
      </c>
      <c r="Q34" s="1"/>
    </row>
    <row r="35" spans="1:17" x14ac:dyDescent="0.25">
      <c r="A35" s="23" t="s">
        <v>131</v>
      </c>
      <c r="Q35" s="1"/>
    </row>
    <row r="36" spans="1:17" x14ac:dyDescent="0.25">
      <c r="A36" s="23" t="s">
        <v>100</v>
      </c>
      <c r="Q36" s="1"/>
    </row>
    <row r="37" spans="1:17" x14ac:dyDescent="0.25">
      <c r="A37" s="23" t="s">
        <v>132</v>
      </c>
      <c r="Q37" s="1"/>
    </row>
    <row r="38" spans="1:17" x14ac:dyDescent="0.25">
      <c r="A38" s="23" t="s">
        <v>133</v>
      </c>
      <c r="Q38" s="1"/>
    </row>
    <row r="39" spans="1:17" x14ac:dyDescent="0.25">
      <c r="A39" s="23" t="s">
        <v>134</v>
      </c>
      <c r="Q39" s="1"/>
    </row>
    <row r="40" spans="1:17" x14ac:dyDescent="0.25">
      <c r="A40" s="23" t="s">
        <v>135</v>
      </c>
      <c r="Q40" s="1"/>
    </row>
    <row r="41" spans="1:17" x14ac:dyDescent="0.25">
      <c r="A41" s="23" t="s">
        <v>136</v>
      </c>
      <c r="Q41" s="1"/>
    </row>
    <row r="42" spans="1:17" x14ac:dyDescent="0.25">
      <c r="A42" s="23" t="s">
        <v>137</v>
      </c>
      <c r="Q42" s="1"/>
    </row>
    <row r="43" spans="1:17" x14ac:dyDescent="0.25">
      <c r="A43" s="23" t="s">
        <v>101</v>
      </c>
      <c r="Q43" s="1"/>
    </row>
    <row r="44" spans="1:17" x14ac:dyDescent="0.25">
      <c r="A44" s="23" t="s">
        <v>138</v>
      </c>
      <c r="Q44" s="1"/>
    </row>
    <row r="45" spans="1:17" x14ac:dyDescent="0.25">
      <c r="A45" s="23" t="s">
        <v>139</v>
      </c>
      <c r="Q45" s="1"/>
    </row>
    <row r="46" spans="1:17" x14ac:dyDescent="0.25">
      <c r="A46" s="23" t="s">
        <v>140</v>
      </c>
      <c r="Q46" s="1"/>
    </row>
    <row r="47" spans="1:17" x14ac:dyDescent="0.25">
      <c r="A47" s="23" t="s">
        <v>141</v>
      </c>
      <c r="Q47" s="1"/>
    </row>
    <row r="48" spans="1:17" x14ac:dyDescent="0.25">
      <c r="A48" s="23" t="s">
        <v>142</v>
      </c>
      <c r="Q48" s="1"/>
    </row>
    <row r="49" spans="1:17" x14ac:dyDescent="0.25">
      <c r="A49" s="23" t="s">
        <v>143</v>
      </c>
      <c r="Q49" s="1"/>
    </row>
    <row r="50" spans="1:17" x14ac:dyDescent="0.25">
      <c r="A50" s="23" t="s">
        <v>102</v>
      </c>
      <c r="Q50" s="1"/>
    </row>
    <row r="51" spans="1:17" x14ac:dyDescent="0.25">
      <c r="A51" s="23" t="s">
        <v>144</v>
      </c>
      <c r="Q51" s="1"/>
    </row>
    <row r="52" spans="1:17" x14ac:dyDescent="0.25">
      <c r="A52" s="23" t="s">
        <v>145</v>
      </c>
      <c r="Q52" s="1"/>
    </row>
    <row r="53" spans="1:17" x14ac:dyDescent="0.25">
      <c r="A53" s="23" t="s">
        <v>146</v>
      </c>
      <c r="Q53" s="1"/>
    </row>
    <row r="54" spans="1:17" x14ac:dyDescent="0.25">
      <c r="A54" s="23" t="s">
        <v>147</v>
      </c>
      <c r="Q54" s="1"/>
    </row>
    <row r="55" spans="1:17" x14ac:dyDescent="0.25">
      <c r="A55" s="23" t="s">
        <v>148</v>
      </c>
      <c r="Q55" s="1"/>
    </row>
    <row r="56" spans="1:17" x14ac:dyDescent="0.25">
      <c r="A56" s="23" t="s">
        <v>149</v>
      </c>
      <c r="Q56" s="1"/>
    </row>
    <row r="57" spans="1:17" x14ac:dyDescent="0.25">
      <c r="A57" s="23" t="s">
        <v>103</v>
      </c>
      <c r="Q57" s="1"/>
    </row>
    <row r="58" spans="1:17" x14ac:dyDescent="0.25">
      <c r="A58" s="23" t="s">
        <v>150</v>
      </c>
      <c r="Q58" s="1"/>
    </row>
    <row r="59" spans="1:17" x14ac:dyDescent="0.25">
      <c r="A59" s="23" t="s">
        <v>151</v>
      </c>
      <c r="Q59" s="1"/>
    </row>
    <row r="60" spans="1:17" x14ac:dyDescent="0.25">
      <c r="A60" s="23" t="s">
        <v>152</v>
      </c>
      <c r="Q60" s="1"/>
    </row>
    <row r="61" spans="1:17" x14ac:dyDescent="0.25">
      <c r="A61" s="23" t="s">
        <v>153</v>
      </c>
      <c r="Q61" s="1"/>
    </row>
    <row r="62" spans="1:17" x14ac:dyDescent="0.25">
      <c r="A62" s="23" t="s">
        <v>154</v>
      </c>
      <c r="Q62" s="1"/>
    </row>
    <row r="63" spans="1:17" x14ac:dyDescent="0.25">
      <c r="A63" s="23" t="s">
        <v>155</v>
      </c>
      <c r="Q63" s="1"/>
    </row>
    <row r="64" spans="1:17" x14ac:dyDescent="0.25">
      <c r="A64" s="23" t="s">
        <v>104</v>
      </c>
      <c r="Q64" s="1"/>
    </row>
    <row r="65" spans="1:17" x14ac:dyDescent="0.25">
      <c r="A65" s="23" t="s">
        <v>156</v>
      </c>
      <c r="Q65" s="1"/>
    </row>
    <row r="66" spans="1:17" x14ac:dyDescent="0.25">
      <c r="A66" s="23" t="s">
        <v>157</v>
      </c>
      <c r="Q66" s="1"/>
    </row>
    <row r="67" spans="1:17" x14ac:dyDescent="0.25">
      <c r="A67" s="23" t="s">
        <v>158</v>
      </c>
      <c r="Q67" s="1"/>
    </row>
    <row r="68" spans="1:17" x14ac:dyDescent="0.25">
      <c r="A68" s="23" t="s">
        <v>159</v>
      </c>
      <c r="Q68" s="1"/>
    </row>
    <row r="69" spans="1:17" x14ac:dyDescent="0.25">
      <c r="A69" s="23" t="s">
        <v>160</v>
      </c>
      <c r="Q69" s="1"/>
    </row>
    <row r="70" spans="1:17" x14ac:dyDescent="0.25">
      <c r="A70" s="23" t="s">
        <v>161</v>
      </c>
      <c r="Q70" s="1"/>
    </row>
    <row r="71" spans="1:17" x14ac:dyDescent="0.25">
      <c r="A71" s="23" t="s">
        <v>105</v>
      </c>
      <c r="Q71" s="1"/>
    </row>
    <row r="72" spans="1:17" x14ac:dyDescent="0.25">
      <c r="A72" s="23" t="s">
        <v>162</v>
      </c>
      <c r="Q72" s="1"/>
    </row>
    <row r="73" spans="1:17" x14ac:dyDescent="0.25">
      <c r="A73" s="23" t="s">
        <v>163</v>
      </c>
      <c r="Q73" s="1"/>
    </row>
    <row r="74" spans="1:17" x14ac:dyDescent="0.25">
      <c r="A74" s="23" t="s">
        <v>164</v>
      </c>
      <c r="Q74" s="1"/>
    </row>
    <row r="75" spans="1:17" x14ac:dyDescent="0.25">
      <c r="A75" s="23" t="s">
        <v>165</v>
      </c>
      <c r="Q75" s="1"/>
    </row>
    <row r="76" spans="1:17" x14ac:dyDescent="0.25">
      <c r="A76" s="23" t="s">
        <v>166</v>
      </c>
      <c r="Q76" s="1"/>
    </row>
    <row r="77" spans="1:17" x14ac:dyDescent="0.25">
      <c r="A77" s="23" t="s">
        <v>167</v>
      </c>
      <c r="Q77" s="1"/>
    </row>
    <row r="78" spans="1:17" x14ac:dyDescent="0.25">
      <c r="A78" s="23" t="s">
        <v>106</v>
      </c>
      <c r="Q78" s="1"/>
    </row>
    <row r="79" spans="1:17" x14ac:dyDescent="0.25">
      <c r="A79" s="23" t="s">
        <v>168</v>
      </c>
      <c r="Q79" s="1"/>
    </row>
    <row r="80" spans="1:17" x14ac:dyDescent="0.25">
      <c r="A80" s="23" t="s">
        <v>169</v>
      </c>
      <c r="Q80" s="1"/>
    </row>
    <row r="81" spans="1:17" x14ac:dyDescent="0.25">
      <c r="A81" s="23" t="s">
        <v>170</v>
      </c>
      <c r="Q81" s="1"/>
    </row>
    <row r="82" spans="1:17" x14ac:dyDescent="0.25">
      <c r="A82" s="23" t="s">
        <v>171</v>
      </c>
      <c r="Q82" s="1"/>
    </row>
    <row r="83" spans="1:17" x14ac:dyDescent="0.25">
      <c r="A83" s="23" t="s">
        <v>172</v>
      </c>
      <c r="Q83" s="1"/>
    </row>
    <row r="84" spans="1:17" x14ac:dyDescent="0.25">
      <c r="A84" s="23" t="s">
        <v>173</v>
      </c>
      <c r="Q84" s="1"/>
    </row>
    <row r="85" spans="1:17" x14ac:dyDescent="0.25">
      <c r="A85" s="23" t="s">
        <v>107</v>
      </c>
      <c r="Q85" s="1"/>
    </row>
    <row r="86" spans="1:17" x14ac:dyDescent="0.25">
      <c r="A86" s="23" t="s">
        <v>174</v>
      </c>
      <c r="Q86" s="1"/>
    </row>
    <row r="87" spans="1:17" x14ac:dyDescent="0.25">
      <c r="A87" s="23" t="s">
        <v>175</v>
      </c>
    </row>
    <row r="88" spans="1:17" x14ac:dyDescent="0.25">
      <c r="A88" s="23" t="s">
        <v>176</v>
      </c>
    </row>
    <row r="89" spans="1:17" x14ac:dyDescent="0.25">
      <c r="A89" s="23" t="s">
        <v>177</v>
      </c>
    </row>
    <row r="90" spans="1:17" x14ac:dyDescent="0.25">
      <c r="A90" s="23" t="s">
        <v>178</v>
      </c>
    </row>
    <row r="91" spans="1:17" x14ac:dyDescent="0.25">
      <c r="A91" s="23" t="s">
        <v>179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16977-5A41-4FA5-968E-E2E34D8EAEB8}">
  <sheetPr codeName="Sheet6">
    <tabColor theme="5" tint="0.59999389629810485"/>
  </sheetPr>
  <dimension ref="A1:A91"/>
  <sheetViews>
    <sheetView workbookViewId="0"/>
  </sheetViews>
  <sheetFormatPr defaultRowHeight="15" x14ac:dyDescent="0.25"/>
  <sheetData>
    <row r="1" spans="1:1" x14ac:dyDescent="0.25">
      <c r="A1" s="2" t="s">
        <v>90</v>
      </c>
    </row>
    <row r="3" spans="1:1" x14ac:dyDescent="0.25">
      <c r="A3" s="23" t="s">
        <v>180</v>
      </c>
    </row>
    <row r="4" spans="1:1" x14ac:dyDescent="0.25">
      <c r="A4" s="23" t="s">
        <v>181</v>
      </c>
    </row>
    <row r="5" spans="1:1" x14ac:dyDescent="0.25">
      <c r="A5" s="23" t="s">
        <v>93</v>
      </c>
    </row>
    <row r="6" spans="1:1" x14ac:dyDescent="0.25">
      <c r="A6" s="23" t="s">
        <v>94</v>
      </c>
    </row>
    <row r="7" spans="1:1" x14ac:dyDescent="0.25">
      <c r="A7" s="23" t="s">
        <v>95</v>
      </c>
    </row>
    <row r="8" spans="1:1" x14ac:dyDescent="0.25">
      <c r="A8" s="23" t="s">
        <v>96</v>
      </c>
    </row>
    <row r="9" spans="1:1" x14ac:dyDescent="0.25">
      <c r="A9" s="23" t="s">
        <v>182</v>
      </c>
    </row>
    <row r="10" spans="1:1" x14ac:dyDescent="0.25">
      <c r="A10" s="23" t="s">
        <v>183</v>
      </c>
    </row>
    <row r="11" spans="1:1" x14ac:dyDescent="0.25">
      <c r="A11" s="23" t="s">
        <v>184</v>
      </c>
    </row>
    <row r="12" spans="1:1" x14ac:dyDescent="0.25">
      <c r="A12" s="23" t="s">
        <v>185</v>
      </c>
    </row>
    <row r="13" spans="1:1" x14ac:dyDescent="0.25">
      <c r="A13" s="23" t="s">
        <v>186</v>
      </c>
    </row>
    <row r="14" spans="1:1" x14ac:dyDescent="0.25">
      <c r="A14" s="23" t="s">
        <v>187</v>
      </c>
    </row>
    <row r="15" spans="1:1" x14ac:dyDescent="0.25">
      <c r="A15" s="23" t="s">
        <v>97</v>
      </c>
    </row>
    <row r="16" spans="1:1" x14ac:dyDescent="0.25">
      <c r="A16" s="23" t="s">
        <v>188</v>
      </c>
    </row>
    <row r="17" spans="1:1" x14ac:dyDescent="0.25">
      <c r="A17" s="23" t="s">
        <v>189</v>
      </c>
    </row>
    <row r="18" spans="1:1" x14ac:dyDescent="0.25">
      <c r="A18" s="23" t="s">
        <v>190</v>
      </c>
    </row>
    <row r="19" spans="1:1" x14ac:dyDescent="0.25">
      <c r="A19" s="23" t="s">
        <v>191</v>
      </c>
    </row>
    <row r="20" spans="1:1" x14ac:dyDescent="0.25">
      <c r="A20" s="23" t="s">
        <v>192</v>
      </c>
    </row>
    <row r="21" spans="1:1" x14ac:dyDescent="0.25">
      <c r="A21" s="23" t="s">
        <v>193</v>
      </c>
    </row>
    <row r="22" spans="1:1" x14ac:dyDescent="0.25">
      <c r="A22" s="23" t="s">
        <v>98</v>
      </c>
    </row>
    <row r="23" spans="1:1" x14ac:dyDescent="0.25">
      <c r="A23" s="23" t="s">
        <v>194</v>
      </c>
    </row>
    <row r="24" spans="1:1" x14ac:dyDescent="0.25">
      <c r="A24" s="23" t="s">
        <v>195</v>
      </c>
    </row>
    <row r="25" spans="1:1" x14ac:dyDescent="0.25">
      <c r="A25" s="23" t="s">
        <v>196</v>
      </c>
    </row>
    <row r="26" spans="1:1" x14ac:dyDescent="0.25">
      <c r="A26" s="23" t="s">
        <v>197</v>
      </c>
    </row>
    <row r="27" spans="1:1" x14ac:dyDescent="0.25">
      <c r="A27" s="23" t="s">
        <v>198</v>
      </c>
    </row>
    <row r="28" spans="1:1" x14ac:dyDescent="0.25">
      <c r="A28" s="23" t="s">
        <v>199</v>
      </c>
    </row>
    <row r="29" spans="1:1" x14ac:dyDescent="0.25">
      <c r="A29" s="23" t="s">
        <v>99</v>
      </c>
    </row>
    <row r="30" spans="1:1" x14ac:dyDescent="0.25">
      <c r="A30" s="23" t="s">
        <v>200</v>
      </c>
    </row>
    <row r="31" spans="1:1" x14ac:dyDescent="0.25">
      <c r="A31" s="23" t="s">
        <v>201</v>
      </c>
    </row>
    <row r="32" spans="1:1" x14ac:dyDescent="0.25">
      <c r="A32" s="23" t="s">
        <v>202</v>
      </c>
    </row>
    <row r="33" spans="1:1" x14ac:dyDescent="0.25">
      <c r="A33" s="23" t="s">
        <v>203</v>
      </c>
    </row>
    <row r="34" spans="1:1" x14ac:dyDescent="0.25">
      <c r="A34" s="23" t="s">
        <v>204</v>
      </c>
    </row>
    <row r="35" spans="1:1" x14ac:dyDescent="0.25">
      <c r="A35" s="23" t="s">
        <v>205</v>
      </c>
    </row>
    <row r="36" spans="1:1" x14ac:dyDescent="0.25">
      <c r="A36" s="23" t="s">
        <v>100</v>
      </c>
    </row>
    <row r="37" spans="1:1" x14ac:dyDescent="0.25">
      <c r="A37" s="23" t="s">
        <v>206</v>
      </c>
    </row>
    <row r="38" spans="1:1" x14ac:dyDescent="0.25">
      <c r="A38" s="23" t="s">
        <v>207</v>
      </c>
    </row>
    <row r="39" spans="1:1" x14ac:dyDescent="0.25">
      <c r="A39" s="23" t="s">
        <v>208</v>
      </c>
    </row>
    <row r="40" spans="1:1" x14ac:dyDescent="0.25">
      <c r="A40" s="23" t="s">
        <v>209</v>
      </c>
    </row>
    <row r="41" spans="1:1" x14ac:dyDescent="0.25">
      <c r="A41" s="23" t="s">
        <v>210</v>
      </c>
    </row>
    <row r="42" spans="1:1" x14ac:dyDescent="0.25">
      <c r="A42" s="23" t="s">
        <v>211</v>
      </c>
    </row>
    <row r="43" spans="1:1" x14ac:dyDescent="0.25">
      <c r="A43" s="23" t="s">
        <v>101</v>
      </c>
    </row>
    <row r="44" spans="1:1" x14ac:dyDescent="0.25">
      <c r="A44" s="23" t="s">
        <v>212</v>
      </c>
    </row>
    <row r="45" spans="1:1" x14ac:dyDescent="0.25">
      <c r="A45" s="23" t="s">
        <v>213</v>
      </c>
    </row>
    <row r="46" spans="1:1" x14ac:dyDescent="0.25">
      <c r="A46" s="23" t="s">
        <v>214</v>
      </c>
    </row>
    <row r="47" spans="1:1" x14ac:dyDescent="0.25">
      <c r="A47" s="23" t="s">
        <v>215</v>
      </c>
    </row>
    <row r="48" spans="1:1" x14ac:dyDescent="0.25">
      <c r="A48" s="23" t="s">
        <v>216</v>
      </c>
    </row>
    <row r="49" spans="1:1" x14ac:dyDescent="0.25">
      <c r="A49" s="23" t="s">
        <v>217</v>
      </c>
    </row>
    <row r="50" spans="1:1" x14ac:dyDescent="0.25">
      <c r="A50" s="23" t="s">
        <v>102</v>
      </c>
    </row>
    <row r="51" spans="1:1" x14ac:dyDescent="0.25">
      <c r="A51" s="23" t="s">
        <v>218</v>
      </c>
    </row>
    <row r="52" spans="1:1" x14ac:dyDescent="0.25">
      <c r="A52" s="23" t="s">
        <v>219</v>
      </c>
    </row>
    <row r="53" spans="1:1" x14ac:dyDescent="0.25">
      <c r="A53" s="23" t="s">
        <v>220</v>
      </c>
    </row>
    <row r="54" spans="1:1" x14ac:dyDescent="0.25">
      <c r="A54" s="23" t="s">
        <v>221</v>
      </c>
    </row>
    <row r="55" spans="1:1" x14ac:dyDescent="0.25">
      <c r="A55" s="23" t="s">
        <v>222</v>
      </c>
    </row>
    <row r="56" spans="1:1" x14ac:dyDescent="0.25">
      <c r="A56" s="23" t="s">
        <v>223</v>
      </c>
    </row>
    <row r="57" spans="1:1" x14ac:dyDescent="0.25">
      <c r="A57" s="23" t="s">
        <v>103</v>
      </c>
    </row>
    <row r="58" spans="1:1" x14ac:dyDescent="0.25">
      <c r="A58" s="23" t="s">
        <v>224</v>
      </c>
    </row>
    <row r="59" spans="1:1" x14ac:dyDescent="0.25">
      <c r="A59" s="23" t="s">
        <v>225</v>
      </c>
    </row>
    <row r="60" spans="1:1" x14ac:dyDescent="0.25">
      <c r="A60" s="23" t="s">
        <v>226</v>
      </c>
    </row>
    <row r="61" spans="1:1" x14ac:dyDescent="0.25">
      <c r="A61" s="23" t="s">
        <v>227</v>
      </c>
    </row>
    <row r="62" spans="1:1" x14ac:dyDescent="0.25">
      <c r="A62" s="23" t="s">
        <v>228</v>
      </c>
    </row>
    <row r="63" spans="1:1" x14ac:dyDescent="0.25">
      <c r="A63" s="23" t="s">
        <v>229</v>
      </c>
    </row>
    <row r="64" spans="1:1" x14ac:dyDescent="0.25">
      <c r="A64" s="23" t="s">
        <v>104</v>
      </c>
    </row>
    <row r="65" spans="1:1" x14ac:dyDescent="0.25">
      <c r="A65" s="23" t="s">
        <v>230</v>
      </c>
    </row>
    <row r="66" spans="1:1" x14ac:dyDescent="0.25">
      <c r="A66" s="23" t="s">
        <v>231</v>
      </c>
    </row>
    <row r="67" spans="1:1" x14ac:dyDescent="0.25">
      <c r="A67" s="23" t="s">
        <v>232</v>
      </c>
    </row>
    <row r="68" spans="1:1" x14ac:dyDescent="0.25">
      <c r="A68" s="23" t="s">
        <v>233</v>
      </c>
    </row>
    <row r="69" spans="1:1" x14ac:dyDescent="0.25">
      <c r="A69" s="23" t="s">
        <v>234</v>
      </c>
    </row>
    <row r="70" spans="1:1" x14ac:dyDescent="0.25">
      <c r="A70" s="23" t="s">
        <v>235</v>
      </c>
    </row>
    <row r="71" spans="1:1" x14ac:dyDescent="0.25">
      <c r="A71" s="23" t="s">
        <v>105</v>
      </c>
    </row>
    <row r="72" spans="1:1" x14ac:dyDescent="0.25">
      <c r="A72" s="23" t="s">
        <v>236</v>
      </c>
    </row>
    <row r="73" spans="1:1" x14ac:dyDescent="0.25">
      <c r="A73" s="23" t="s">
        <v>237</v>
      </c>
    </row>
    <row r="74" spans="1:1" x14ac:dyDescent="0.25">
      <c r="A74" s="23" t="s">
        <v>238</v>
      </c>
    </row>
    <row r="75" spans="1:1" x14ac:dyDescent="0.25">
      <c r="A75" s="23" t="s">
        <v>239</v>
      </c>
    </row>
    <row r="76" spans="1:1" x14ac:dyDescent="0.25">
      <c r="A76" s="23" t="s">
        <v>240</v>
      </c>
    </row>
    <row r="77" spans="1:1" x14ac:dyDescent="0.25">
      <c r="A77" s="23" t="s">
        <v>241</v>
      </c>
    </row>
    <row r="78" spans="1:1" x14ac:dyDescent="0.25">
      <c r="A78" s="23" t="s">
        <v>106</v>
      </c>
    </row>
    <row r="79" spans="1:1" x14ac:dyDescent="0.25">
      <c r="A79" s="23" t="s">
        <v>242</v>
      </c>
    </row>
    <row r="80" spans="1:1" x14ac:dyDescent="0.25">
      <c r="A80" s="23" t="s">
        <v>243</v>
      </c>
    </row>
    <row r="81" spans="1:1" x14ac:dyDescent="0.25">
      <c r="A81" s="23" t="s">
        <v>244</v>
      </c>
    </row>
    <row r="82" spans="1:1" x14ac:dyDescent="0.25">
      <c r="A82" s="23" t="s">
        <v>245</v>
      </c>
    </row>
    <row r="83" spans="1:1" x14ac:dyDescent="0.25">
      <c r="A83" s="23" t="s">
        <v>246</v>
      </c>
    </row>
    <row r="84" spans="1:1" x14ac:dyDescent="0.25">
      <c r="A84" s="23" t="s">
        <v>247</v>
      </c>
    </row>
    <row r="85" spans="1:1" x14ac:dyDescent="0.25">
      <c r="A85" s="23" t="s">
        <v>107</v>
      </c>
    </row>
    <row r="86" spans="1:1" x14ac:dyDescent="0.25">
      <c r="A86" s="23" t="s">
        <v>248</v>
      </c>
    </row>
    <row r="87" spans="1:1" x14ac:dyDescent="0.25">
      <c r="A87" s="23" t="s">
        <v>249</v>
      </c>
    </row>
    <row r="88" spans="1:1" x14ac:dyDescent="0.25">
      <c r="A88" s="23" t="s">
        <v>250</v>
      </c>
    </row>
    <row r="89" spans="1:1" x14ac:dyDescent="0.25">
      <c r="A89" s="23" t="s">
        <v>251</v>
      </c>
    </row>
    <row r="90" spans="1:1" x14ac:dyDescent="0.25">
      <c r="A90" s="23" t="s">
        <v>252</v>
      </c>
    </row>
    <row r="91" spans="1:1" x14ac:dyDescent="0.25">
      <c r="A91" s="23" t="s">
        <v>253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897BB-9300-4B11-A5A8-B532552339FC}">
  <sheetPr codeName="Sheet7">
    <tabColor theme="5" tint="0.59999389629810485"/>
  </sheetPr>
  <dimension ref="A1:A91"/>
  <sheetViews>
    <sheetView workbookViewId="0"/>
  </sheetViews>
  <sheetFormatPr defaultRowHeight="15" x14ac:dyDescent="0.25"/>
  <sheetData>
    <row r="1" spans="1:1" x14ac:dyDescent="0.25">
      <c r="A1" s="2" t="s">
        <v>90</v>
      </c>
    </row>
    <row r="2" spans="1:1" x14ac:dyDescent="0.25">
      <c r="A2" s="1"/>
    </row>
    <row r="3" spans="1:1" x14ac:dyDescent="0.25">
      <c r="A3" s="23" t="s">
        <v>254</v>
      </c>
    </row>
    <row r="4" spans="1:1" x14ac:dyDescent="0.25">
      <c r="A4" s="23" t="s">
        <v>255</v>
      </c>
    </row>
    <row r="5" spans="1:1" x14ac:dyDescent="0.25">
      <c r="A5" s="23" t="s">
        <v>93</v>
      </c>
    </row>
    <row r="6" spans="1:1" x14ac:dyDescent="0.25">
      <c r="A6" s="23" t="s">
        <v>94</v>
      </c>
    </row>
    <row r="7" spans="1:1" x14ac:dyDescent="0.25">
      <c r="A7" s="23" t="s">
        <v>95</v>
      </c>
    </row>
    <row r="8" spans="1:1" x14ac:dyDescent="0.25">
      <c r="A8" s="23" t="s">
        <v>96</v>
      </c>
    </row>
    <row r="9" spans="1:1" x14ac:dyDescent="0.25">
      <c r="A9" s="23" t="s">
        <v>256</v>
      </c>
    </row>
    <row r="10" spans="1:1" x14ac:dyDescent="0.25">
      <c r="A10" s="23" t="s">
        <v>257</v>
      </c>
    </row>
    <row r="11" spans="1:1" x14ac:dyDescent="0.25">
      <c r="A11" s="23" t="s">
        <v>258</v>
      </c>
    </row>
    <row r="12" spans="1:1" x14ac:dyDescent="0.25">
      <c r="A12" s="23" t="s">
        <v>259</v>
      </c>
    </row>
    <row r="13" spans="1:1" x14ac:dyDescent="0.25">
      <c r="A13" s="23" t="s">
        <v>260</v>
      </c>
    </row>
    <row r="14" spans="1:1" x14ac:dyDescent="0.25">
      <c r="A14" s="23" t="s">
        <v>261</v>
      </c>
    </row>
    <row r="15" spans="1:1" x14ac:dyDescent="0.25">
      <c r="A15" s="23" t="s">
        <v>97</v>
      </c>
    </row>
    <row r="16" spans="1:1" x14ac:dyDescent="0.25">
      <c r="A16" s="23" t="s">
        <v>262</v>
      </c>
    </row>
    <row r="17" spans="1:1" x14ac:dyDescent="0.25">
      <c r="A17" s="23" t="s">
        <v>263</v>
      </c>
    </row>
    <row r="18" spans="1:1" x14ac:dyDescent="0.25">
      <c r="A18" s="23" t="s">
        <v>264</v>
      </c>
    </row>
    <row r="19" spans="1:1" x14ac:dyDescent="0.25">
      <c r="A19" s="23" t="s">
        <v>265</v>
      </c>
    </row>
    <row r="20" spans="1:1" x14ac:dyDescent="0.25">
      <c r="A20" s="23" t="s">
        <v>266</v>
      </c>
    </row>
    <row r="21" spans="1:1" x14ac:dyDescent="0.25">
      <c r="A21" s="23" t="s">
        <v>267</v>
      </c>
    </row>
    <row r="22" spans="1:1" x14ac:dyDescent="0.25">
      <c r="A22" s="23" t="s">
        <v>98</v>
      </c>
    </row>
    <row r="23" spans="1:1" x14ac:dyDescent="0.25">
      <c r="A23" s="23" t="s">
        <v>268</v>
      </c>
    </row>
    <row r="24" spans="1:1" x14ac:dyDescent="0.25">
      <c r="A24" s="23" t="s">
        <v>269</v>
      </c>
    </row>
    <row r="25" spans="1:1" x14ac:dyDescent="0.25">
      <c r="A25" s="23" t="s">
        <v>270</v>
      </c>
    </row>
    <row r="26" spans="1:1" x14ac:dyDescent="0.25">
      <c r="A26" s="23" t="s">
        <v>271</v>
      </c>
    </row>
    <row r="27" spans="1:1" x14ac:dyDescent="0.25">
      <c r="A27" s="23" t="s">
        <v>272</v>
      </c>
    </row>
    <row r="28" spans="1:1" x14ac:dyDescent="0.25">
      <c r="A28" s="23" t="s">
        <v>273</v>
      </c>
    </row>
    <row r="29" spans="1:1" x14ac:dyDescent="0.25">
      <c r="A29" s="23" t="s">
        <v>99</v>
      </c>
    </row>
    <row r="30" spans="1:1" x14ac:dyDescent="0.25">
      <c r="A30" s="23" t="s">
        <v>274</v>
      </c>
    </row>
    <row r="31" spans="1:1" x14ac:dyDescent="0.25">
      <c r="A31" s="23" t="s">
        <v>275</v>
      </c>
    </row>
    <row r="32" spans="1:1" x14ac:dyDescent="0.25">
      <c r="A32" s="23" t="s">
        <v>276</v>
      </c>
    </row>
    <row r="33" spans="1:1" x14ac:dyDescent="0.25">
      <c r="A33" s="23" t="s">
        <v>277</v>
      </c>
    </row>
    <row r="34" spans="1:1" x14ac:dyDescent="0.25">
      <c r="A34" s="23" t="s">
        <v>278</v>
      </c>
    </row>
    <row r="35" spans="1:1" x14ac:dyDescent="0.25">
      <c r="A35" s="23" t="s">
        <v>279</v>
      </c>
    </row>
    <row r="36" spans="1:1" x14ac:dyDescent="0.25">
      <c r="A36" s="23" t="s">
        <v>100</v>
      </c>
    </row>
    <row r="37" spans="1:1" x14ac:dyDescent="0.25">
      <c r="A37" s="23" t="s">
        <v>280</v>
      </c>
    </row>
    <row r="38" spans="1:1" x14ac:dyDescent="0.25">
      <c r="A38" s="23" t="s">
        <v>281</v>
      </c>
    </row>
    <row r="39" spans="1:1" x14ac:dyDescent="0.25">
      <c r="A39" s="23" t="s">
        <v>282</v>
      </c>
    </row>
    <row r="40" spans="1:1" x14ac:dyDescent="0.25">
      <c r="A40" s="23" t="s">
        <v>283</v>
      </c>
    </row>
    <row r="41" spans="1:1" x14ac:dyDescent="0.25">
      <c r="A41" s="23" t="s">
        <v>284</v>
      </c>
    </row>
    <row r="42" spans="1:1" x14ac:dyDescent="0.25">
      <c r="A42" s="23" t="s">
        <v>285</v>
      </c>
    </row>
    <row r="43" spans="1:1" x14ac:dyDescent="0.25">
      <c r="A43" s="23" t="s">
        <v>101</v>
      </c>
    </row>
    <row r="44" spans="1:1" x14ac:dyDescent="0.25">
      <c r="A44" s="23" t="s">
        <v>286</v>
      </c>
    </row>
    <row r="45" spans="1:1" x14ac:dyDescent="0.25">
      <c r="A45" s="23" t="s">
        <v>287</v>
      </c>
    </row>
    <row r="46" spans="1:1" x14ac:dyDescent="0.25">
      <c r="A46" s="23" t="s">
        <v>288</v>
      </c>
    </row>
    <row r="47" spans="1:1" x14ac:dyDescent="0.25">
      <c r="A47" s="23" t="s">
        <v>289</v>
      </c>
    </row>
    <row r="48" spans="1:1" x14ac:dyDescent="0.25">
      <c r="A48" s="23" t="s">
        <v>290</v>
      </c>
    </row>
    <row r="49" spans="1:1" x14ac:dyDescent="0.25">
      <c r="A49" s="23" t="s">
        <v>291</v>
      </c>
    </row>
    <row r="50" spans="1:1" x14ac:dyDescent="0.25">
      <c r="A50" s="23" t="s">
        <v>102</v>
      </c>
    </row>
    <row r="51" spans="1:1" x14ac:dyDescent="0.25">
      <c r="A51" s="23" t="s">
        <v>292</v>
      </c>
    </row>
    <row r="52" spans="1:1" x14ac:dyDescent="0.25">
      <c r="A52" s="23" t="s">
        <v>293</v>
      </c>
    </row>
    <row r="53" spans="1:1" x14ac:dyDescent="0.25">
      <c r="A53" s="23" t="s">
        <v>294</v>
      </c>
    </row>
    <row r="54" spans="1:1" x14ac:dyDescent="0.25">
      <c r="A54" s="23" t="s">
        <v>295</v>
      </c>
    </row>
    <row r="55" spans="1:1" x14ac:dyDescent="0.25">
      <c r="A55" s="23" t="s">
        <v>296</v>
      </c>
    </row>
    <row r="56" spans="1:1" x14ac:dyDescent="0.25">
      <c r="A56" s="23" t="s">
        <v>297</v>
      </c>
    </row>
    <row r="57" spans="1:1" x14ac:dyDescent="0.25">
      <c r="A57" s="23" t="s">
        <v>103</v>
      </c>
    </row>
    <row r="58" spans="1:1" x14ac:dyDescent="0.25">
      <c r="A58" s="23" t="s">
        <v>298</v>
      </c>
    </row>
    <row r="59" spans="1:1" x14ac:dyDescent="0.25">
      <c r="A59" s="23" t="s">
        <v>299</v>
      </c>
    </row>
    <row r="60" spans="1:1" x14ac:dyDescent="0.25">
      <c r="A60" s="23" t="s">
        <v>300</v>
      </c>
    </row>
    <row r="61" spans="1:1" x14ac:dyDescent="0.25">
      <c r="A61" s="23" t="s">
        <v>301</v>
      </c>
    </row>
    <row r="62" spans="1:1" x14ac:dyDescent="0.25">
      <c r="A62" s="23" t="s">
        <v>302</v>
      </c>
    </row>
    <row r="63" spans="1:1" x14ac:dyDescent="0.25">
      <c r="A63" s="23" t="s">
        <v>303</v>
      </c>
    </row>
    <row r="64" spans="1:1" x14ac:dyDescent="0.25">
      <c r="A64" s="23" t="s">
        <v>104</v>
      </c>
    </row>
    <row r="65" spans="1:1" x14ac:dyDescent="0.25">
      <c r="A65" s="23" t="s">
        <v>304</v>
      </c>
    </row>
    <row r="66" spans="1:1" x14ac:dyDescent="0.25">
      <c r="A66" s="23" t="s">
        <v>305</v>
      </c>
    </row>
    <row r="67" spans="1:1" x14ac:dyDescent="0.25">
      <c r="A67" s="23" t="s">
        <v>306</v>
      </c>
    </row>
    <row r="68" spans="1:1" x14ac:dyDescent="0.25">
      <c r="A68" s="23" t="s">
        <v>307</v>
      </c>
    </row>
    <row r="69" spans="1:1" x14ac:dyDescent="0.25">
      <c r="A69" s="23" t="s">
        <v>308</v>
      </c>
    </row>
    <row r="70" spans="1:1" x14ac:dyDescent="0.25">
      <c r="A70" s="23" t="s">
        <v>309</v>
      </c>
    </row>
    <row r="71" spans="1:1" x14ac:dyDescent="0.25">
      <c r="A71" s="23" t="s">
        <v>105</v>
      </c>
    </row>
    <row r="72" spans="1:1" x14ac:dyDescent="0.25">
      <c r="A72" s="23" t="s">
        <v>310</v>
      </c>
    </row>
    <row r="73" spans="1:1" x14ac:dyDescent="0.25">
      <c r="A73" s="23" t="s">
        <v>311</v>
      </c>
    </row>
    <row r="74" spans="1:1" x14ac:dyDescent="0.25">
      <c r="A74" s="23" t="s">
        <v>312</v>
      </c>
    </row>
    <row r="75" spans="1:1" x14ac:dyDescent="0.25">
      <c r="A75" s="23" t="s">
        <v>313</v>
      </c>
    </row>
    <row r="76" spans="1:1" x14ac:dyDescent="0.25">
      <c r="A76" s="23" t="s">
        <v>314</v>
      </c>
    </row>
    <row r="77" spans="1:1" x14ac:dyDescent="0.25">
      <c r="A77" s="23" t="s">
        <v>315</v>
      </c>
    </row>
    <row r="78" spans="1:1" x14ac:dyDescent="0.25">
      <c r="A78" s="23" t="s">
        <v>106</v>
      </c>
    </row>
    <row r="79" spans="1:1" x14ac:dyDescent="0.25">
      <c r="A79" s="23" t="s">
        <v>316</v>
      </c>
    </row>
    <row r="80" spans="1:1" x14ac:dyDescent="0.25">
      <c r="A80" s="23" t="s">
        <v>317</v>
      </c>
    </row>
    <row r="81" spans="1:1" x14ac:dyDescent="0.25">
      <c r="A81" s="23" t="s">
        <v>318</v>
      </c>
    </row>
    <row r="82" spans="1:1" x14ac:dyDescent="0.25">
      <c r="A82" s="23" t="s">
        <v>319</v>
      </c>
    </row>
    <row r="83" spans="1:1" x14ac:dyDescent="0.25">
      <c r="A83" s="23" t="s">
        <v>320</v>
      </c>
    </row>
    <row r="84" spans="1:1" x14ac:dyDescent="0.25">
      <c r="A84" s="23" t="s">
        <v>321</v>
      </c>
    </row>
    <row r="85" spans="1:1" x14ac:dyDescent="0.25">
      <c r="A85" s="23" t="s">
        <v>107</v>
      </c>
    </row>
    <row r="86" spans="1:1" x14ac:dyDescent="0.25">
      <c r="A86" s="23" t="s">
        <v>322</v>
      </c>
    </row>
    <row r="87" spans="1:1" x14ac:dyDescent="0.25">
      <c r="A87" s="23" t="s">
        <v>323</v>
      </c>
    </row>
    <row r="88" spans="1:1" x14ac:dyDescent="0.25">
      <c r="A88" s="23" t="s">
        <v>324</v>
      </c>
    </row>
    <row r="89" spans="1:1" x14ac:dyDescent="0.25">
      <c r="A89" s="23" t="s">
        <v>325</v>
      </c>
    </row>
    <row r="90" spans="1:1" x14ac:dyDescent="0.25">
      <c r="A90" s="23" t="s">
        <v>326</v>
      </c>
    </row>
    <row r="91" spans="1:1" x14ac:dyDescent="0.25">
      <c r="A91" s="23" t="s">
        <v>327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BEE4E-E288-444F-915B-75B76F614307}">
  <sheetPr codeName="Sheet8">
    <tabColor theme="7" tint="0.59999389629810485"/>
  </sheetPr>
  <dimension ref="A1:A91"/>
  <sheetViews>
    <sheetView workbookViewId="0"/>
  </sheetViews>
  <sheetFormatPr defaultRowHeight="15" x14ac:dyDescent="0.25"/>
  <sheetData>
    <row r="1" spans="1:1" x14ac:dyDescent="0.25">
      <c r="A1" s="2" t="s">
        <v>90</v>
      </c>
    </row>
    <row r="3" spans="1:1" x14ac:dyDescent="0.25">
      <c r="A3" s="23" t="s">
        <v>91</v>
      </c>
    </row>
    <row r="4" spans="1:1" x14ac:dyDescent="0.25">
      <c r="A4" s="23" t="s">
        <v>92</v>
      </c>
    </row>
    <row r="5" spans="1:1" x14ac:dyDescent="0.25">
      <c r="A5" s="23" t="s">
        <v>328</v>
      </c>
    </row>
    <row r="6" spans="1:1" x14ac:dyDescent="0.25">
      <c r="A6" s="23" t="s">
        <v>94</v>
      </c>
    </row>
    <row r="7" spans="1:1" x14ac:dyDescent="0.25">
      <c r="A7" s="23" t="s">
        <v>95</v>
      </c>
    </row>
    <row r="8" spans="1:1" x14ac:dyDescent="0.25">
      <c r="A8" s="23" t="s">
        <v>96</v>
      </c>
    </row>
    <row r="9" spans="1:1" x14ac:dyDescent="0.25">
      <c r="A9" s="23" t="s">
        <v>108</v>
      </c>
    </row>
    <row r="10" spans="1:1" x14ac:dyDescent="0.25">
      <c r="A10" s="23" t="s">
        <v>109</v>
      </c>
    </row>
    <row r="11" spans="1:1" x14ac:dyDescent="0.25">
      <c r="A11" s="23" t="s">
        <v>110</v>
      </c>
    </row>
    <row r="12" spans="1:1" x14ac:dyDescent="0.25">
      <c r="A12" s="23" t="s">
        <v>111</v>
      </c>
    </row>
    <row r="13" spans="1:1" x14ac:dyDescent="0.25">
      <c r="A13" s="23" t="s">
        <v>112</v>
      </c>
    </row>
    <row r="14" spans="1:1" x14ac:dyDescent="0.25">
      <c r="A14" s="23" t="s">
        <v>113</v>
      </c>
    </row>
    <row r="15" spans="1:1" x14ac:dyDescent="0.25">
      <c r="A15" s="23" t="s">
        <v>97</v>
      </c>
    </row>
    <row r="16" spans="1:1" x14ac:dyDescent="0.25">
      <c r="A16" s="23" t="s">
        <v>114</v>
      </c>
    </row>
    <row r="17" spans="1:1" x14ac:dyDescent="0.25">
      <c r="A17" s="23" t="s">
        <v>115</v>
      </c>
    </row>
    <row r="18" spans="1:1" x14ac:dyDescent="0.25">
      <c r="A18" s="23" t="s">
        <v>116</v>
      </c>
    </row>
    <row r="19" spans="1:1" x14ac:dyDescent="0.25">
      <c r="A19" s="23" t="s">
        <v>117</v>
      </c>
    </row>
    <row r="20" spans="1:1" x14ac:dyDescent="0.25">
      <c r="A20" s="23" t="s">
        <v>118</v>
      </c>
    </row>
    <row r="21" spans="1:1" x14ac:dyDescent="0.25">
      <c r="A21" s="23" t="s">
        <v>119</v>
      </c>
    </row>
    <row r="22" spans="1:1" x14ac:dyDescent="0.25">
      <c r="A22" s="23" t="s">
        <v>98</v>
      </c>
    </row>
    <row r="23" spans="1:1" x14ac:dyDescent="0.25">
      <c r="A23" s="23" t="s">
        <v>120</v>
      </c>
    </row>
    <row r="24" spans="1:1" x14ac:dyDescent="0.25">
      <c r="A24" s="23" t="s">
        <v>121</v>
      </c>
    </row>
    <row r="25" spans="1:1" x14ac:dyDescent="0.25">
      <c r="A25" s="23" t="s">
        <v>122</v>
      </c>
    </row>
    <row r="26" spans="1:1" x14ac:dyDescent="0.25">
      <c r="A26" s="23" t="s">
        <v>123</v>
      </c>
    </row>
    <row r="27" spans="1:1" x14ac:dyDescent="0.25">
      <c r="A27" s="23" t="s">
        <v>124</v>
      </c>
    </row>
    <row r="28" spans="1:1" x14ac:dyDescent="0.25">
      <c r="A28" s="23" t="s">
        <v>125</v>
      </c>
    </row>
    <row r="29" spans="1:1" x14ac:dyDescent="0.25">
      <c r="A29" s="23" t="s">
        <v>99</v>
      </c>
    </row>
    <row r="30" spans="1:1" x14ac:dyDescent="0.25">
      <c r="A30" s="23" t="s">
        <v>126</v>
      </c>
    </row>
    <row r="31" spans="1:1" x14ac:dyDescent="0.25">
      <c r="A31" s="23" t="s">
        <v>127</v>
      </c>
    </row>
    <row r="32" spans="1:1" x14ac:dyDescent="0.25">
      <c r="A32" s="23" t="s">
        <v>128</v>
      </c>
    </row>
    <row r="33" spans="1:1" x14ac:dyDescent="0.25">
      <c r="A33" s="23" t="s">
        <v>129</v>
      </c>
    </row>
    <row r="34" spans="1:1" x14ac:dyDescent="0.25">
      <c r="A34" s="23" t="s">
        <v>130</v>
      </c>
    </row>
    <row r="35" spans="1:1" x14ac:dyDescent="0.25">
      <c r="A35" s="23" t="s">
        <v>131</v>
      </c>
    </row>
    <row r="36" spans="1:1" x14ac:dyDescent="0.25">
      <c r="A36" s="23" t="s">
        <v>100</v>
      </c>
    </row>
    <row r="37" spans="1:1" x14ac:dyDescent="0.25">
      <c r="A37" s="23" t="s">
        <v>132</v>
      </c>
    </row>
    <row r="38" spans="1:1" x14ac:dyDescent="0.25">
      <c r="A38" s="23" t="s">
        <v>133</v>
      </c>
    </row>
    <row r="39" spans="1:1" x14ac:dyDescent="0.25">
      <c r="A39" s="23" t="s">
        <v>134</v>
      </c>
    </row>
    <row r="40" spans="1:1" x14ac:dyDescent="0.25">
      <c r="A40" s="23" t="s">
        <v>135</v>
      </c>
    </row>
    <row r="41" spans="1:1" x14ac:dyDescent="0.25">
      <c r="A41" s="23" t="s">
        <v>136</v>
      </c>
    </row>
    <row r="42" spans="1:1" x14ac:dyDescent="0.25">
      <c r="A42" s="23" t="s">
        <v>137</v>
      </c>
    </row>
    <row r="43" spans="1:1" x14ac:dyDescent="0.25">
      <c r="A43" s="23" t="s">
        <v>101</v>
      </c>
    </row>
    <row r="44" spans="1:1" x14ac:dyDescent="0.25">
      <c r="A44" s="23" t="s">
        <v>138</v>
      </c>
    </row>
    <row r="45" spans="1:1" x14ac:dyDescent="0.25">
      <c r="A45" s="23" t="s">
        <v>139</v>
      </c>
    </row>
    <row r="46" spans="1:1" x14ac:dyDescent="0.25">
      <c r="A46" s="23" t="s">
        <v>140</v>
      </c>
    </row>
    <row r="47" spans="1:1" x14ac:dyDescent="0.25">
      <c r="A47" s="23" t="s">
        <v>141</v>
      </c>
    </row>
    <row r="48" spans="1:1" x14ac:dyDescent="0.25">
      <c r="A48" s="23" t="s">
        <v>142</v>
      </c>
    </row>
    <row r="49" spans="1:1" x14ac:dyDescent="0.25">
      <c r="A49" s="23" t="s">
        <v>143</v>
      </c>
    </row>
    <row r="50" spans="1:1" x14ac:dyDescent="0.25">
      <c r="A50" s="23" t="s">
        <v>102</v>
      </c>
    </row>
    <row r="51" spans="1:1" x14ac:dyDescent="0.25">
      <c r="A51" s="23" t="s">
        <v>144</v>
      </c>
    </row>
    <row r="52" spans="1:1" x14ac:dyDescent="0.25">
      <c r="A52" s="23" t="s">
        <v>145</v>
      </c>
    </row>
    <row r="53" spans="1:1" x14ac:dyDescent="0.25">
      <c r="A53" s="23" t="s">
        <v>146</v>
      </c>
    </row>
    <row r="54" spans="1:1" x14ac:dyDescent="0.25">
      <c r="A54" s="23" t="s">
        <v>147</v>
      </c>
    </row>
    <row r="55" spans="1:1" x14ac:dyDescent="0.25">
      <c r="A55" s="23" t="s">
        <v>148</v>
      </c>
    </row>
    <row r="56" spans="1:1" x14ac:dyDescent="0.25">
      <c r="A56" s="23" t="s">
        <v>149</v>
      </c>
    </row>
    <row r="57" spans="1:1" x14ac:dyDescent="0.25">
      <c r="A57" s="23" t="s">
        <v>103</v>
      </c>
    </row>
    <row r="58" spans="1:1" x14ac:dyDescent="0.25">
      <c r="A58" s="23" t="s">
        <v>150</v>
      </c>
    </row>
    <row r="59" spans="1:1" x14ac:dyDescent="0.25">
      <c r="A59" s="23" t="s">
        <v>151</v>
      </c>
    </row>
    <row r="60" spans="1:1" x14ac:dyDescent="0.25">
      <c r="A60" s="23" t="s">
        <v>152</v>
      </c>
    </row>
    <row r="61" spans="1:1" x14ac:dyDescent="0.25">
      <c r="A61" s="23" t="s">
        <v>153</v>
      </c>
    </row>
    <row r="62" spans="1:1" x14ac:dyDescent="0.25">
      <c r="A62" s="23" t="s">
        <v>154</v>
      </c>
    </row>
    <row r="63" spans="1:1" x14ac:dyDescent="0.25">
      <c r="A63" s="23" t="s">
        <v>155</v>
      </c>
    </row>
    <row r="64" spans="1:1" x14ac:dyDescent="0.25">
      <c r="A64" s="23" t="s">
        <v>104</v>
      </c>
    </row>
    <row r="65" spans="1:1" x14ac:dyDescent="0.25">
      <c r="A65" s="23" t="s">
        <v>156</v>
      </c>
    </row>
    <row r="66" spans="1:1" x14ac:dyDescent="0.25">
      <c r="A66" s="23" t="s">
        <v>157</v>
      </c>
    </row>
    <row r="67" spans="1:1" x14ac:dyDescent="0.25">
      <c r="A67" s="23" t="s">
        <v>158</v>
      </c>
    </row>
    <row r="68" spans="1:1" x14ac:dyDescent="0.25">
      <c r="A68" s="23" t="s">
        <v>159</v>
      </c>
    </row>
    <row r="69" spans="1:1" x14ac:dyDescent="0.25">
      <c r="A69" s="23" t="s">
        <v>160</v>
      </c>
    </row>
    <row r="70" spans="1:1" x14ac:dyDescent="0.25">
      <c r="A70" s="23" t="s">
        <v>161</v>
      </c>
    </row>
    <row r="71" spans="1:1" x14ac:dyDescent="0.25">
      <c r="A71" s="23" t="s">
        <v>105</v>
      </c>
    </row>
    <row r="72" spans="1:1" x14ac:dyDescent="0.25">
      <c r="A72" s="23" t="s">
        <v>162</v>
      </c>
    </row>
    <row r="73" spans="1:1" x14ac:dyDescent="0.25">
      <c r="A73" s="23" t="s">
        <v>163</v>
      </c>
    </row>
    <row r="74" spans="1:1" x14ac:dyDescent="0.25">
      <c r="A74" s="23" t="s">
        <v>164</v>
      </c>
    </row>
    <row r="75" spans="1:1" x14ac:dyDescent="0.25">
      <c r="A75" s="23" t="s">
        <v>165</v>
      </c>
    </row>
    <row r="76" spans="1:1" x14ac:dyDescent="0.25">
      <c r="A76" s="23" t="s">
        <v>166</v>
      </c>
    </row>
    <row r="77" spans="1:1" x14ac:dyDescent="0.25">
      <c r="A77" s="23" t="s">
        <v>167</v>
      </c>
    </row>
    <row r="78" spans="1:1" x14ac:dyDescent="0.25">
      <c r="A78" s="23" t="s">
        <v>106</v>
      </c>
    </row>
    <row r="79" spans="1:1" x14ac:dyDescent="0.25">
      <c r="A79" s="23" t="s">
        <v>168</v>
      </c>
    </row>
    <row r="80" spans="1:1" x14ac:dyDescent="0.25">
      <c r="A80" s="23" t="s">
        <v>169</v>
      </c>
    </row>
    <row r="81" spans="1:1" x14ac:dyDescent="0.25">
      <c r="A81" s="23" t="s">
        <v>170</v>
      </c>
    </row>
    <row r="82" spans="1:1" x14ac:dyDescent="0.25">
      <c r="A82" s="23" t="s">
        <v>171</v>
      </c>
    </row>
    <row r="83" spans="1:1" x14ac:dyDescent="0.25">
      <c r="A83" s="23" t="s">
        <v>172</v>
      </c>
    </row>
    <row r="84" spans="1:1" x14ac:dyDescent="0.25">
      <c r="A84" s="23" t="s">
        <v>173</v>
      </c>
    </row>
    <row r="85" spans="1:1" x14ac:dyDescent="0.25">
      <c r="A85" s="23" t="s">
        <v>107</v>
      </c>
    </row>
    <row r="86" spans="1:1" x14ac:dyDescent="0.25">
      <c r="A86" s="23" t="s">
        <v>473</v>
      </c>
    </row>
    <row r="87" spans="1:1" x14ac:dyDescent="0.25">
      <c r="A87" s="23" t="s">
        <v>474</v>
      </c>
    </row>
    <row r="88" spans="1:1" x14ac:dyDescent="0.25">
      <c r="A88" s="23" t="s">
        <v>475</v>
      </c>
    </row>
    <row r="89" spans="1:1" x14ac:dyDescent="0.25">
      <c r="A89" s="23" t="s">
        <v>476</v>
      </c>
    </row>
    <row r="90" spans="1:1" x14ac:dyDescent="0.25">
      <c r="A90" s="23" t="s">
        <v>477</v>
      </c>
    </row>
    <row r="91" spans="1:1" x14ac:dyDescent="0.25">
      <c r="A91" s="23" t="s">
        <v>478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EB06B-5204-4335-924D-29243A34C4C1}">
  <sheetPr codeName="Sheet9"/>
  <dimension ref="A1:I91"/>
  <sheetViews>
    <sheetView workbookViewId="0"/>
  </sheetViews>
  <sheetFormatPr defaultRowHeight="15" x14ac:dyDescent="0.25"/>
  <sheetData>
    <row r="1" spans="1:9" x14ac:dyDescent="0.25">
      <c r="A1" s="2" t="s">
        <v>90</v>
      </c>
    </row>
    <row r="3" spans="1:9" x14ac:dyDescent="0.25">
      <c r="A3" s="23" t="s">
        <v>91</v>
      </c>
    </row>
    <row r="4" spans="1:9" x14ac:dyDescent="0.25">
      <c r="A4" s="23" t="s">
        <v>92</v>
      </c>
    </row>
    <row r="5" spans="1:9" x14ac:dyDescent="0.25">
      <c r="A5" s="23" t="s">
        <v>328</v>
      </c>
    </row>
    <row r="6" spans="1:9" x14ac:dyDescent="0.25">
      <c r="A6" s="23" t="s">
        <v>94</v>
      </c>
    </row>
    <row r="7" spans="1:9" x14ac:dyDescent="0.25">
      <c r="A7" s="23" t="s">
        <v>95</v>
      </c>
    </row>
    <row r="8" spans="1:9" x14ac:dyDescent="0.25">
      <c r="A8" s="23" t="s">
        <v>96</v>
      </c>
    </row>
    <row r="9" spans="1:9" x14ac:dyDescent="0.25">
      <c r="A9" s="23" t="s">
        <v>479</v>
      </c>
      <c r="B9" t="s">
        <v>15</v>
      </c>
      <c r="C9" t="s">
        <v>480</v>
      </c>
      <c r="D9" t="s">
        <v>481</v>
      </c>
      <c r="E9">
        <v>0.50888529886914302</v>
      </c>
      <c r="F9" t="s">
        <v>482</v>
      </c>
      <c r="G9">
        <v>0.53662691652470096</v>
      </c>
      <c r="H9" t="s">
        <v>483</v>
      </c>
      <c r="I9">
        <v>0.52238805970149205</v>
      </c>
    </row>
    <row r="10" spans="1:9" x14ac:dyDescent="0.25">
      <c r="A10" s="23" t="s">
        <v>479</v>
      </c>
      <c r="B10" t="s">
        <v>15</v>
      </c>
      <c r="C10" t="s">
        <v>480</v>
      </c>
      <c r="D10" t="s">
        <v>484</v>
      </c>
      <c r="E10">
        <v>0.54066265060240903</v>
      </c>
      <c r="F10" t="s">
        <v>482</v>
      </c>
      <c r="G10">
        <v>0.56535433070866103</v>
      </c>
      <c r="H10" t="s">
        <v>483</v>
      </c>
      <c r="I10">
        <v>0.55273287143956795</v>
      </c>
    </row>
    <row r="11" spans="1:9" x14ac:dyDescent="0.25">
      <c r="A11" s="23" t="s">
        <v>479</v>
      </c>
      <c r="B11" t="s">
        <v>15</v>
      </c>
      <c r="C11" t="s">
        <v>480</v>
      </c>
      <c r="D11" t="s">
        <v>485</v>
      </c>
      <c r="E11">
        <v>0.583206106870229</v>
      </c>
      <c r="F11" t="s">
        <v>482</v>
      </c>
      <c r="G11">
        <v>0.583206106870229</v>
      </c>
      <c r="H11" t="s">
        <v>483</v>
      </c>
      <c r="I11">
        <v>0.583206106870229</v>
      </c>
    </row>
    <row r="12" spans="1:9" x14ac:dyDescent="0.25">
      <c r="A12" s="23" t="s">
        <v>479</v>
      </c>
      <c r="B12" t="s">
        <v>15</v>
      </c>
      <c r="C12" t="s">
        <v>480</v>
      </c>
      <c r="D12" t="s">
        <v>486</v>
      </c>
      <c r="E12">
        <v>0.61218836565096901</v>
      </c>
      <c r="F12" t="s">
        <v>482</v>
      </c>
      <c r="G12">
        <v>0.63597122302158204</v>
      </c>
      <c r="H12" t="s">
        <v>483</v>
      </c>
      <c r="I12">
        <v>0.62385321100917401</v>
      </c>
    </row>
    <row r="13" spans="1:9" x14ac:dyDescent="0.25">
      <c r="A13" s="23" t="s">
        <v>479</v>
      </c>
      <c r="B13" t="s">
        <v>15</v>
      </c>
      <c r="C13" t="s">
        <v>480</v>
      </c>
      <c r="D13" t="s">
        <v>487</v>
      </c>
      <c r="E13">
        <v>0.69266589057043004</v>
      </c>
      <c r="F13" t="s">
        <v>482</v>
      </c>
      <c r="G13">
        <v>0.74468085106382897</v>
      </c>
      <c r="H13" t="s">
        <v>483</v>
      </c>
      <c r="I13">
        <v>0.71773220747888999</v>
      </c>
    </row>
    <row r="14" spans="1:9" x14ac:dyDescent="0.25">
      <c r="A14" s="23" t="s">
        <v>479</v>
      </c>
      <c r="B14" t="s">
        <v>15</v>
      </c>
      <c r="C14" t="s">
        <v>480</v>
      </c>
      <c r="D14" t="s">
        <v>488</v>
      </c>
      <c r="E14">
        <v>0.60124610591900296</v>
      </c>
      <c r="F14" t="s">
        <v>482</v>
      </c>
      <c r="G14">
        <v>0.87993920972644302</v>
      </c>
      <c r="H14" t="s">
        <v>483</v>
      </c>
      <c r="I14">
        <v>0.71437384330660003</v>
      </c>
    </row>
    <row r="15" spans="1:9" x14ac:dyDescent="0.25">
      <c r="A15" s="23" t="s">
        <v>97</v>
      </c>
    </row>
    <row r="16" spans="1:9" x14ac:dyDescent="0.25">
      <c r="A16" s="23" t="s">
        <v>479</v>
      </c>
      <c r="B16" t="s">
        <v>27</v>
      </c>
      <c r="C16" t="s">
        <v>480</v>
      </c>
      <c r="D16" t="s">
        <v>481</v>
      </c>
      <c r="E16">
        <v>0.52054794520547898</v>
      </c>
      <c r="F16" t="s">
        <v>482</v>
      </c>
      <c r="G16">
        <v>0.55882352941176405</v>
      </c>
      <c r="H16" t="s">
        <v>483</v>
      </c>
      <c r="I16">
        <v>0.53900709219858101</v>
      </c>
    </row>
    <row r="17" spans="1:9" x14ac:dyDescent="0.25">
      <c r="A17" s="23" t="s">
        <v>479</v>
      </c>
      <c r="B17" t="s">
        <v>27</v>
      </c>
      <c r="C17" t="s">
        <v>480</v>
      </c>
      <c r="D17" t="s">
        <v>484</v>
      </c>
      <c r="E17">
        <v>0.54758418740849102</v>
      </c>
      <c r="F17" t="s">
        <v>482</v>
      </c>
      <c r="G17">
        <v>0.55820895522388003</v>
      </c>
      <c r="H17" t="s">
        <v>483</v>
      </c>
      <c r="I17">
        <v>0.55284552845528401</v>
      </c>
    </row>
    <row r="18" spans="1:9" x14ac:dyDescent="0.25">
      <c r="A18" s="23" t="s">
        <v>479</v>
      </c>
      <c r="B18" t="s">
        <v>27</v>
      </c>
      <c r="C18" t="s">
        <v>480</v>
      </c>
      <c r="D18" t="s">
        <v>485</v>
      </c>
      <c r="E18">
        <v>0.60589060308555398</v>
      </c>
      <c r="F18" t="s">
        <v>482</v>
      </c>
      <c r="G18">
        <v>0.62882096069868998</v>
      </c>
      <c r="H18" t="s">
        <v>483</v>
      </c>
      <c r="I18">
        <v>0.61714285714285699</v>
      </c>
    </row>
    <row r="19" spans="1:9" x14ac:dyDescent="0.25">
      <c r="A19" s="23" t="s">
        <v>479</v>
      </c>
      <c r="B19" t="s">
        <v>27</v>
      </c>
      <c r="C19" t="s">
        <v>480</v>
      </c>
      <c r="D19" t="s">
        <v>486</v>
      </c>
      <c r="E19">
        <v>0.65954606141521999</v>
      </c>
      <c r="F19" t="s">
        <v>482</v>
      </c>
      <c r="G19">
        <v>0.657789613848202</v>
      </c>
      <c r="H19" t="s">
        <v>483</v>
      </c>
      <c r="I19">
        <v>0.65866666666666596</v>
      </c>
    </row>
    <row r="20" spans="1:9" x14ac:dyDescent="0.25">
      <c r="A20" s="23" t="s">
        <v>479</v>
      </c>
      <c r="B20" t="s">
        <v>27</v>
      </c>
      <c r="C20" t="s">
        <v>480</v>
      </c>
      <c r="D20" t="s">
        <v>487</v>
      </c>
      <c r="E20">
        <v>0.66303030303030297</v>
      </c>
      <c r="F20" t="s">
        <v>482</v>
      </c>
      <c r="G20">
        <v>0.73324396782841805</v>
      </c>
      <c r="H20" t="s">
        <v>483</v>
      </c>
      <c r="I20">
        <v>0.69637173774665795</v>
      </c>
    </row>
    <row r="21" spans="1:9" x14ac:dyDescent="0.25">
      <c r="A21" s="23" t="s">
        <v>479</v>
      </c>
      <c r="B21" t="s">
        <v>27</v>
      </c>
      <c r="C21" t="s">
        <v>480</v>
      </c>
      <c r="D21" t="s">
        <v>488</v>
      </c>
      <c r="E21">
        <v>0.70426829268292601</v>
      </c>
      <c r="F21" t="s">
        <v>482</v>
      </c>
      <c r="G21">
        <v>0.86194029850746201</v>
      </c>
      <c r="H21" t="s">
        <v>483</v>
      </c>
      <c r="I21">
        <v>0.77516778523489904</v>
      </c>
    </row>
    <row r="22" spans="1:9" x14ac:dyDescent="0.25">
      <c r="A22" s="23" t="s">
        <v>98</v>
      </c>
    </row>
    <row r="23" spans="1:9" x14ac:dyDescent="0.25">
      <c r="A23" s="23" t="s">
        <v>479</v>
      </c>
      <c r="B23" t="s">
        <v>28</v>
      </c>
      <c r="C23" t="s">
        <v>480</v>
      </c>
      <c r="D23" t="s">
        <v>481</v>
      </c>
      <c r="E23">
        <v>0.52919020715630805</v>
      </c>
      <c r="F23" t="s">
        <v>482</v>
      </c>
      <c r="G23">
        <v>0.48116438356164298</v>
      </c>
      <c r="H23" t="s">
        <v>483</v>
      </c>
      <c r="I23">
        <v>0.50403587443946096</v>
      </c>
    </row>
    <row r="24" spans="1:9" x14ac:dyDescent="0.25">
      <c r="A24" s="23" t="s">
        <v>479</v>
      </c>
      <c r="B24" t="s">
        <v>28</v>
      </c>
      <c r="C24" t="s">
        <v>480</v>
      </c>
      <c r="D24" t="s">
        <v>484</v>
      </c>
      <c r="E24">
        <v>0.57415565345080699</v>
      </c>
      <c r="F24" t="s">
        <v>482</v>
      </c>
      <c r="G24">
        <v>0.613814756671899</v>
      </c>
      <c r="H24" t="s">
        <v>483</v>
      </c>
      <c r="I24">
        <v>0.59332321699544699</v>
      </c>
    </row>
    <row r="25" spans="1:9" x14ac:dyDescent="0.25">
      <c r="A25" s="23" t="s">
        <v>479</v>
      </c>
      <c r="B25" t="s">
        <v>28</v>
      </c>
      <c r="C25" t="s">
        <v>480</v>
      </c>
      <c r="D25" t="s">
        <v>485</v>
      </c>
      <c r="E25">
        <v>0.56521739130434701</v>
      </c>
      <c r="F25" t="s">
        <v>482</v>
      </c>
      <c r="G25">
        <v>0.60223642172523895</v>
      </c>
      <c r="H25" t="s">
        <v>483</v>
      </c>
      <c r="I25">
        <v>0.58313998453209503</v>
      </c>
    </row>
    <row r="26" spans="1:9" x14ac:dyDescent="0.25">
      <c r="A26" s="23" t="s">
        <v>479</v>
      </c>
      <c r="B26" t="s">
        <v>28</v>
      </c>
      <c r="C26" t="s">
        <v>480</v>
      </c>
      <c r="D26" t="s">
        <v>486</v>
      </c>
      <c r="E26">
        <v>0.55057803468208</v>
      </c>
      <c r="F26" t="s">
        <v>482</v>
      </c>
      <c r="G26">
        <v>0.602848101265822</v>
      </c>
      <c r="H26" t="s">
        <v>483</v>
      </c>
      <c r="I26">
        <v>0.575528700906344</v>
      </c>
    </row>
    <row r="27" spans="1:9" x14ac:dyDescent="0.25">
      <c r="A27" s="23" t="s">
        <v>479</v>
      </c>
      <c r="B27" t="s">
        <v>28</v>
      </c>
      <c r="C27" t="s">
        <v>480</v>
      </c>
      <c r="D27" t="s">
        <v>487</v>
      </c>
      <c r="E27">
        <v>0.59685863874345502</v>
      </c>
      <c r="F27" t="s">
        <v>482</v>
      </c>
      <c r="G27">
        <v>0.65423242467718701</v>
      </c>
      <c r="H27" t="s">
        <v>483</v>
      </c>
      <c r="I27">
        <v>0.62422997946611902</v>
      </c>
    </row>
    <row r="28" spans="1:9" x14ac:dyDescent="0.25">
      <c r="A28" s="23" t="s">
        <v>479</v>
      </c>
      <c r="B28" t="s">
        <v>28</v>
      </c>
      <c r="C28" t="s">
        <v>480</v>
      </c>
      <c r="D28" t="s">
        <v>488</v>
      </c>
      <c r="E28">
        <v>0.66701570680628197</v>
      </c>
      <c r="F28" t="s">
        <v>482</v>
      </c>
      <c r="G28">
        <v>0.85046728971962604</v>
      </c>
      <c r="H28" t="s">
        <v>483</v>
      </c>
      <c r="I28">
        <v>0.74765258215962405</v>
      </c>
    </row>
    <row r="29" spans="1:9" x14ac:dyDescent="0.25">
      <c r="A29" s="23" t="s">
        <v>99</v>
      </c>
    </row>
    <row r="30" spans="1:9" x14ac:dyDescent="0.25">
      <c r="A30" s="23" t="s">
        <v>479</v>
      </c>
      <c r="B30" t="s">
        <v>29</v>
      </c>
      <c r="C30" t="s">
        <v>480</v>
      </c>
      <c r="D30" t="s">
        <v>481</v>
      </c>
      <c r="E30">
        <v>0.45614035087719201</v>
      </c>
      <c r="F30" t="s">
        <v>482</v>
      </c>
      <c r="G30">
        <v>0.52380952380952295</v>
      </c>
      <c r="H30" t="s">
        <v>483</v>
      </c>
      <c r="I30">
        <v>0.48763853367433901</v>
      </c>
    </row>
    <row r="31" spans="1:9" x14ac:dyDescent="0.25">
      <c r="A31" s="23" t="s">
        <v>479</v>
      </c>
      <c r="B31" t="s">
        <v>29</v>
      </c>
      <c r="C31" t="s">
        <v>480</v>
      </c>
      <c r="D31" t="s">
        <v>484</v>
      </c>
      <c r="E31">
        <v>0.48784722222222199</v>
      </c>
      <c r="F31" t="s">
        <v>482</v>
      </c>
      <c r="G31">
        <v>0.52919020715630805</v>
      </c>
      <c r="H31" t="s">
        <v>483</v>
      </c>
      <c r="I31">
        <v>0.50767841011743398</v>
      </c>
    </row>
    <row r="32" spans="1:9" x14ac:dyDescent="0.25">
      <c r="A32" s="23" t="s">
        <v>479</v>
      </c>
      <c r="B32" t="s">
        <v>29</v>
      </c>
      <c r="C32" t="s">
        <v>480</v>
      </c>
      <c r="D32" t="s">
        <v>485</v>
      </c>
      <c r="E32">
        <v>0.43779527559055098</v>
      </c>
      <c r="F32" t="s">
        <v>482</v>
      </c>
      <c r="G32">
        <v>0.54191033138401501</v>
      </c>
      <c r="H32" t="s">
        <v>483</v>
      </c>
      <c r="I32">
        <v>0.48432055749128899</v>
      </c>
    </row>
    <row r="33" spans="1:9" x14ac:dyDescent="0.25">
      <c r="A33" s="23" t="s">
        <v>479</v>
      </c>
      <c r="B33" t="s">
        <v>29</v>
      </c>
      <c r="C33" t="s">
        <v>480</v>
      </c>
      <c r="D33" t="s">
        <v>486</v>
      </c>
      <c r="E33">
        <v>0.45619335347432</v>
      </c>
      <c r="F33" t="s">
        <v>482</v>
      </c>
      <c r="G33">
        <v>0.59332023575638504</v>
      </c>
      <c r="H33" t="s">
        <v>483</v>
      </c>
      <c r="I33">
        <v>0.51579846285226305</v>
      </c>
    </row>
    <row r="34" spans="1:9" x14ac:dyDescent="0.25">
      <c r="A34" s="23" t="s">
        <v>479</v>
      </c>
      <c r="B34" t="s">
        <v>29</v>
      </c>
      <c r="C34" t="s">
        <v>480</v>
      </c>
      <c r="D34" t="s">
        <v>487</v>
      </c>
      <c r="E34">
        <v>0.42209631728045299</v>
      </c>
      <c r="F34" t="s">
        <v>482</v>
      </c>
      <c r="G34">
        <v>0.65494505494505495</v>
      </c>
      <c r="H34" t="s">
        <v>483</v>
      </c>
      <c r="I34">
        <v>0.51335055986218703</v>
      </c>
    </row>
    <row r="35" spans="1:9" x14ac:dyDescent="0.25">
      <c r="A35" s="23" t="s">
        <v>479</v>
      </c>
      <c r="B35" t="s">
        <v>29</v>
      </c>
      <c r="C35" t="s">
        <v>480</v>
      </c>
      <c r="D35" t="s">
        <v>488</v>
      </c>
      <c r="E35">
        <v>0.44471153846153799</v>
      </c>
      <c r="F35" t="s">
        <v>482</v>
      </c>
      <c r="G35">
        <v>0.77244258872651295</v>
      </c>
      <c r="H35" t="s">
        <v>483</v>
      </c>
      <c r="I35">
        <v>0.56445461479786396</v>
      </c>
    </row>
    <row r="36" spans="1:9" x14ac:dyDescent="0.25">
      <c r="A36" s="23" t="s">
        <v>100</v>
      </c>
    </row>
    <row r="37" spans="1:9" x14ac:dyDescent="0.25">
      <c r="A37" s="23" t="s">
        <v>479</v>
      </c>
      <c r="B37" t="s">
        <v>30</v>
      </c>
      <c r="C37" t="s">
        <v>480</v>
      </c>
      <c r="D37" t="s">
        <v>481</v>
      </c>
      <c r="E37">
        <v>0.50641025641025605</v>
      </c>
      <c r="F37" t="s">
        <v>482</v>
      </c>
      <c r="G37">
        <v>0.53020134228187898</v>
      </c>
      <c r="H37" t="s">
        <v>483</v>
      </c>
      <c r="I37">
        <v>0.51803278688524501</v>
      </c>
    </row>
    <row r="38" spans="1:9" x14ac:dyDescent="0.25">
      <c r="A38" s="23" t="s">
        <v>479</v>
      </c>
      <c r="B38" t="s">
        <v>30</v>
      </c>
      <c r="C38" t="s">
        <v>480</v>
      </c>
      <c r="D38" t="s">
        <v>484</v>
      </c>
      <c r="E38">
        <v>0.54277286135693203</v>
      </c>
      <c r="F38" t="s">
        <v>482</v>
      </c>
      <c r="G38">
        <v>0.57770800627943397</v>
      </c>
      <c r="H38" t="s">
        <v>483</v>
      </c>
      <c r="I38">
        <v>0.55969581749049402</v>
      </c>
    </row>
    <row r="39" spans="1:9" x14ac:dyDescent="0.25">
      <c r="A39" s="23" t="s">
        <v>479</v>
      </c>
      <c r="B39" t="s">
        <v>30</v>
      </c>
      <c r="C39" t="s">
        <v>480</v>
      </c>
      <c r="D39" t="s">
        <v>485</v>
      </c>
      <c r="E39">
        <v>0.57917261055634806</v>
      </c>
      <c r="F39" t="s">
        <v>482</v>
      </c>
      <c r="G39">
        <v>0.61796042617960401</v>
      </c>
      <c r="H39" t="s">
        <v>483</v>
      </c>
      <c r="I39">
        <v>0.597938144329896</v>
      </c>
    </row>
    <row r="40" spans="1:9" x14ac:dyDescent="0.25">
      <c r="A40" s="23" t="s">
        <v>479</v>
      </c>
      <c r="B40" t="s">
        <v>30</v>
      </c>
      <c r="C40" t="s">
        <v>480</v>
      </c>
      <c r="D40" t="s">
        <v>486</v>
      </c>
      <c r="E40">
        <v>0.59972105997210601</v>
      </c>
      <c r="F40" t="s">
        <v>482</v>
      </c>
      <c r="G40">
        <v>0.625</v>
      </c>
      <c r="H40" t="s">
        <v>483</v>
      </c>
      <c r="I40">
        <v>0.61209964412811302</v>
      </c>
    </row>
    <row r="41" spans="1:9" x14ac:dyDescent="0.25">
      <c r="A41" s="23" t="s">
        <v>479</v>
      </c>
      <c r="B41" t="s">
        <v>30</v>
      </c>
      <c r="C41" t="s">
        <v>480</v>
      </c>
      <c r="D41" t="s">
        <v>487</v>
      </c>
      <c r="E41">
        <v>0.64390243902439004</v>
      </c>
      <c r="F41" t="s">
        <v>482</v>
      </c>
      <c r="G41">
        <v>0.72527472527472503</v>
      </c>
      <c r="H41" t="s">
        <v>483</v>
      </c>
      <c r="I41">
        <v>0.68217054263565802</v>
      </c>
    </row>
    <row r="42" spans="1:9" x14ac:dyDescent="0.25">
      <c r="A42" s="23" t="s">
        <v>479</v>
      </c>
      <c r="B42" t="s">
        <v>30</v>
      </c>
      <c r="C42" t="s">
        <v>480</v>
      </c>
      <c r="D42" t="s">
        <v>488</v>
      </c>
      <c r="E42">
        <v>0.66701461377870497</v>
      </c>
      <c r="F42" t="s">
        <v>482</v>
      </c>
      <c r="G42">
        <v>0.84078947368420998</v>
      </c>
      <c r="H42" t="s">
        <v>483</v>
      </c>
      <c r="I42">
        <v>0.74388824214202498</v>
      </c>
    </row>
    <row r="43" spans="1:9" x14ac:dyDescent="0.25">
      <c r="A43" s="23" t="s">
        <v>101</v>
      </c>
    </row>
    <row r="44" spans="1:9" x14ac:dyDescent="0.25">
      <c r="A44" s="23" t="s">
        <v>479</v>
      </c>
      <c r="B44" t="s">
        <v>31</v>
      </c>
      <c r="C44" t="s">
        <v>480</v>
      </c>
      <c r="D44" t="s">
        <v>481</v>
      </c>
      <c r="E44">
        <v>0.488151658767772</v>
      </c>
      <c r="F44" t="s">
        <v>482</v>
      </c>
      <c r="G44">
        <v>0.544973544973545</v>
      </c>
      <c r="H44" t="s">
        <v>483</v>
      </c>
      <c r="I44">
        <v>0.51500000000000001</v>
      </c>
    </row>
    <row r="45" spans="1:9" x14ac:dyDescent="0.25">
      <c r="A45" s="23" t="s">
        <v>479</v>
      </c>
      <c r="B45" t="s">
        <v>31</v>
      </c>
      <c r="C45" t="s">
        <v>480</v>
      </c>
      <c r="D45" t="s">
        <v>484</v>
      </c>
      <c r="E45">
        <v>0.49453978159126299</v>
      </c>
      <c r="F45" t="s">
        <v>482</v>
      </c>
      <c r="G45">
        <v>0.55226480836236902</v>
      </c>
      <c r="H45" t="s">
        <v>483</v>
      </c>
      <c r="I45">
        <v>0.52181069958847703</v>
      </c>
    </row>
    <row r="46" spans="1:9" x14ac:dyDescent="0.25">
      <c r="A46" s="23" t="s">
        <v>479</v>
      </c>
      <c r="B46" t="s">
        <v>31</v>
      </c>
      <c r="C46" t="s">
        <v>480</v>
      </c>
      <c r="D46" t="s">
        <v>485</v>
      </c>
      <c r="E46">
        <v>0.49556213017751399</v>
      </c>
      <c r="F46" t="s">
        <v>482</v>
      </c>
      <c r="G46">
        <v>0.576592082616179</v>
      </c>
      <c r="H46" t="s">
        <v>483</v>
      </c>
      <c r="I46">
        <v>0.53301511535401702</v>
      </c>
    </row>
    <row r="47" spans="1:9" x14ac:dyDescent="0.25">
      <c r="A47" s="23" t="s">
        <v>479</v>
      </c>
      <c r="B47" t="s">
        <v>31</v>
      </c>
      <c r="C47" t="s">
        <v>480</v>
      </c>
      <c r="D47" t="s">
        <v>486</v>
      </c>
      <c r="E47">
        <v>0.49850746268656698</v>
      </c>
      <c r="F47" t="s">
        <v>482</v>
      </c>
      <c r="G47">
        <v>0.58289703315881303</v>
      </c>
      <c r="H47" t="s">
        <v>483</v>
      </c>
      <c r="I47">
        <v>0.53740949316170505</v>
      </c>
    </row>
    <row r="48" spans="1:9" x14ac:dyDescent="0.25">
      <c r="A48" s="23" t="s">
        <v>479</v>
      </c>
      <c r="B48" t="s">
        <v>31</v>
      </c>
      <c r="C48" t="s">
        <v>480</v>
      </c>
      <c r="D48" t="s">
        <v>487</v>
      </c>
      <c r="E48">
        <v>0.51428571428571401</v>
      </c>
      <c r="F48" t="s">
        <v>482</v>
      </c>
      <c r="G48">
        <v>0.69109947643978997</v>
      </c>
      <c r="H48" t="s">
        <v>483</v>
      </c>
      <c r="I48">
        <v>0.58972449739389399</v>
      </c>
    </row>
    <row r="49" spans="1:9" x14ac:dyDescent="0.25">
      <c r="A49" s="23" t="s">
        <v>479</v>
      </c>
      <c r="B49" t="s">
        <v>31</v>
      </c>
      <c r="C49" t="s">
        <v>480</v>
      </c>
      <c r="D49" t="s">
        <v>488</v>
      </c>
      <c r="E49">
        <v>0.28034188034188001</v>
      </c>
      <c r="F49" t="s">
        <v>482</v>
      </c>
      <c r="G49">
        <v>0.54304635761589404</v>
      </c>
      <c r="H49" t="s">
        <v>483</v>
      </c>
      <c r="I49">
        <v>0.369785794813979</v>
      </c>
    </row>
    <row r="50" spans="1:9" x14ac:dyDescent="0.25">
      <c r="A50" s="23" t="s">
        <v>102</v>
      </c>
    </row>
    <row r="51" spans="1:9" x14ac:dyDescent="0.25">
      <c r="A51" s="23" t="s">
        <v>479</v>
      </c>
      <c r="B51" t="s">
        <v>32</v>
      </c>
      <c r="C51" t="s">
        <v>480</v>
      </c>
      <c r="D51" t="s">
        <v>481</v>
      </c>
      <c r="E51">
        <v>0.51824817518248101</v>
      </c>
      <c r="F51" t="s">
        <v>482</v>
      </c>
      <c r="G51">
        <v>0.50176678445229606</v>
      </c>
      <c r="H51" t="s">
        <v>483</v>
      </c>
      <c r="I51">
        <v>0.50987432675044797</v>
      </c>
    </row>
    <row r="52" spans="1:9" x14ac:dyDescent="0.25">
      <c r="A52" s="23" t="s">
        <v>479</v>
      </c>
      <c r="B52" t="s">
        <v>32</v>
      </c>
      <c r="C52" t="s">
        <v>480</v>
      </c>
      <c r="D52" t="s">
        <v>484</v>
      </c>
      <c r="E52">
        <v>0.466442953020134</v>
      </c>
      <c r="F52" t="s">
        <v>482</v>
      </c>
      <c r="G52">
        <v>0.5</v>
      </c>
      <c r="H52" t="s">
        <v>483</v>
      </c>
      <c r="I52">
        <v>0.48263888888888801</v>
      </c>
    </row>
    <row r="53" spans="1:9" x14ac:dyDescent="0.25">
      <c r="A53" s="23" t="s">
        <v>479</v>
      </c>
      <c r="B53" t="s">
        <v>32</v>
      </c>
      <c r="C53" t="s">
        <v>480</v>
      </c>
      <c r="D53" t="s">
        <v>485</v>
      </c>
      <c r="E53">
        <v>0.48068669527896901</v>
      </c>
      <c r="F53" t="s">
        <v>482</v>
      </c>
      <c r="G53">
        <v>0.415584415584415</v>
      </c>
      <c r="H53" t="s">
        <v>483</v>
      </c>
      <c r="I53">
        <v>0.44577114427860598</v>
      </c>
    </row>
    <row r="54" spans="1:9" x14ac:dyDescent="0.25">
      <c r="A54" s="23" t="s">
        <v>479</v>
      </c>
      <c r="B54" t="s">
        <v>32</v>
      </c>
      <c r="C54" t="s">
        <v>480</v>
      </c>
      <c r="D54" t="s">
        <v>486</v>
      </c>
      <c r="E54">
        <v>0.459396751740139</v>
      </c>
      <c r="F54" t="s">
        <v>482</v>
      </c>
      <c r="G54">
        <v>0.37429111531190901</v>
      </c>
      <c r="H54" t="s">
        <v>483</v>
      </c>
      <c r="I54">
        <v>0.41249999999999998</v>
      </c>
    </row>
    <row r="55" spans="1:9" x14ac:dyDescent="0.25">
      <c r="A55" s="23" t="s">
        <v>479</v>
      </c>
      <c r="B55" t="s">
        <v>32</v>
      </c>
      <c r="C55" t="s">
        <v>480</v>
      </c>
      <c r="D55" t="s">
        <v>487</v>
      </c>
      <c r="E55">
        <v>0.469696969696969</v>
      </c>
      <c r="F55" t="s">
        <v>482</v>
      </c>
      <c r="G55">
        <v>0.34254143646408802</v>
      </c>
      <c r="H55" t="s">
        <v>483</v>
      </c>
      <c r="I55">
        <v>0.396166134185303</v>
      </c>
    </row>
    <row r="56" spans="1:9" x14ac:dyDescent="0.25">
      <c r="A56" s="23" t="s">
        <v>479</v>
      </c>
      <c r="B56" t="s">
        <v>32</v>
      </c>
      <c r="C56" t="s">
        <v>480</v>
      </c>
      <c r="D56" t="s">
        <v>488</v>
      </c>
      <c r="E56">
        <v>0.18817204301075199</v>
      </c>
      <c r="F56" t="s">
        <v>482</v>
      </c>
      <c r="G56">
        <v>0.12589928057553901</v>
      </c>
      <c r="H56" t="s">
        <v>483</v>
      </c>
      <c r="I56">
        <v>0.15086206896551699</v>
      </c>
    </row>
    <row r="57" spans="1:9" x14ac:dyDescent="0.25">
      <c r="A57" s="23" t="s">
        <v>103</v>
      </c>
    </row>
    <row r="58" spans="1:9" x14ac:dyDescent="0.25">
      <c r="A58" s="23" t="s">
        <v>479</v>
      </c>
      <c r="B58" t="s">
        <v>489</v>
      </c>
      <c r="C58" t="s">
        <v>480</v>
      </c>
      <c r="D58" t="s">
        <v>481</v>
      </c>
      <c r="E58">
        <v>0.50152439024390205</v>
      </c>
      <c r="F58" t="s">
        <v>482</v>
      </c>
      <c r="G58">
        <v>0.55016722408026697</v>
      </c>
      <c r="H58" t="s">
        <v>483</v>
      </c>
      <c r="I58">
        <v>0.52472089314194503</v>
      </c>
    </row>
    <row r="59" spans="1:9" x14ac:dyDescent="0.25">
      <c r="A59" s="23" t="s">
        <v>479</v>
      </c>
      <c r="B59" t="s">
        <v>489</v>
      </c>
      <c r="C59" t="s">
        <v>480</v>
      </c>
      <c r="D59" t="s">
        <v>484</v>
      </c>
      <c r="E59">
        <v>0.52332361516034898</v>
      </c>
      <c r="F59" t="s">
        <v>482</v>
      </c>
      <c r="G59">
        <v>0.57996768982229396</v>
      </c>
      <c r="H59" t="s">
        <v>483</v>
      </c>
      <c r="I59">
        <v>0.55019157088122606</v>
      </c>
    </row>
    <row r="60" spans="1:9" x14ac:dyDescent="0.25">
      <c r="A60" s="23" t="s">
        <v>479</v>
      </c>
      <c r="B60" t="s">
        <v>489</v>
      </c>
      <c r="C60" t="s">
        <v>480</v>
      </c>
      <c r="D60" t="s">
        <v>485</v>
      </c>
      <c r="E60">
        <v>0.54814814814814805</v>
      </c>
      <c r="F60" t="s">
        <v>482</v>
      </c>
      <c r="G60">
        <v>0.58359621451104104</v>
      </c>
      <c r="H60" t="s">
        <v>483</v>
      </c>
      <c r="I60">
        <v>0.56531703590527105</v>
      </c>
    </row>
    <row r="61" spans="1:9" x14ac:dyDescent="0.25">
      <c r="A61" s="23" t="s">
        <v>479</v>
      </c>
      <c r="B61" t="s">
        <v>489</v>
      </c>
      <c r="C61" t="s">
        <v>480</v>
      </c>
      <c r="D61" t="s">
        <v>486</v>
      </c>
      <c r="E61">
        <v>0.56588072122052702</v>
      </c>
      <c r="F61" t="s">
        <v>482</v>
      </c>
      <c r="G61">
        <v>0.62480857580398097</v>
      </c>
      <c r="H61" t="s">
        <v>483</v>
      </c>
      <c r="I61">
        <v>0.59388646288209601</v>
      </c>
    </row>
    <row r="62" spans="1:9" x14ac:dyDescent="0.25">
      <c r="A62" s="23" t="s">
        <v>479</v>
      </c>
      <c r="B62" t="s">
        <v>489</v>
      </c>
      <c r="C62" t="s">
        <v>480</v>
      </c>
      <c r="D62" t="s">
        <v>487</v>
      </c>
      <c r="E62">
        <v>0.57603092783505105</v>
      </c>
      <c r="F62" t="s">
        <v>482</v>
      </c>
      <c r="G62">
        <v>0.66916167664670601</v>
      </c>
      <c r="H62" t="s">
        <v>483</v>
      </c>
      <c r="I62">
        <v>0.61911357340720197</v>
      </c>
    </row>
    <row r="63" spans="1:9" x14ac:dyDescent="0.25">
      <c r="A63" s="23" t="s">
        <v>479</v>
      </c>
      <c r="B63" t="s">
        <v>489</v>
      </c>
      <c r="C63" t="s">
        <v>480</v>
      </c>
      <c r="D63" t="s">
        <v>488</v>
      </c>
      <c r="E63">
        <v>0.58798283261802498</v>
      </c>
      <c r="F63" t="s">
        <v>482</v>
      </c>
      <c r="G63">
        <v>0.84307692307692295</v>
      </c>
      <c r="H63" t="s">
        <v>483</v>
      </c>
      <c r="I63">
        <v>0.692793931731984</v>
      </c>
    </row>
    <row r="64" spans="1:9" x14ac:dyDescent="0.25">
      <c r="A64" s="23" t="s">
        <v>104</v>
      </c>
    </row>
    <row r="65" spans="1:9" x14ac:dyDescent="0.25">
      <c r="A65" s="23" t="s">
        <v>479</v>
      </c>
      <c r="B65" t="s">
        <v>34</v>
      </c>
      <c r="C65" t="s">
        <v>480</v>
      </c>
      <c r="D65" t="s">
        <v>481</v>
      </c>
      <c r="E65">
        <v>0.49921996879875102</v>
      </c>
      <c r="F65" t="s">
        <v>482</v>
      </c>
      <c r="G65">
        <v>0.54607508532423199</v>
      </c>
      <c r="H65" t="s">
        <v>483</v>
      </c>
      <c r="I65">
        <v>0.52159739201303901</v>
      </c>
    </row>
    <row r="66" spans="1:9" x14ac:dyDescent="0.25">
      <c r="A66" s="23" t="s">
        <v>479</v>
      </c>
      <c r="B66" t="s">
        <v>34</v>
      </c>
      <c r="C66" t="s">
        <v>480</v>
      </c>
      <c r="D66" t="s">
        <v>484</v>
      </c>
      <c r="E66">
        <v>0.57909604519774005</v>
      </c>
      <c r="F66" t="s">
        <v>482</v>
      </c>
      <c r="G66">
        <v>0.61746987951807197</v>
      </c>
      <c r="H66" t="s">
        <v>483</v>
      </c>
      <c r="I66">
        <v>0.59766763848396498</v>
      </c>
    </row>
    <row r="67" spans="1:9" x14ac:dyDescent="0.25">
      <c r="A67" s="23" t="s">
        <v>479</v>
      </c>
      <c r="B67" t="s">
        <v>34</v>
      </c>
      <c r="C67" t="s">
        <v>480</v>
      </c>
      <c r="D67" t="s">
        <v>485</v>
      </c>
      <c r="E67">
        <v>0.59815546772068495</v>
      </c>
      <c r="F67" t="s">
        <v>482</v>
      </c>
      <c r="G67">
        <v>0.657018813314037</v>
      </c>
      <c r="H67" t="s">
        <v>483</v>
      </c>
      <c r="I67">
        <v>0.62620689655172401</v>
      </c>
    </row>
    <row r="68" spans="1:9" x14ac:dyDescent="0.25">
      <c r="A68" s="23" t="s">
        <v>479</v>
      </c>
      <c r="B68" t="s">
        <v>34</v>
      </c>
      <c r="C68" t="s">
        <v>480</v>
      </c>
      <c r="D68" t="s">
        <v>486</v>
      </c>
      <c r="E68">
        <v>0.64675324675324597</v>
      </c>
      <c r="F68" t="s">
        <v>482</v>
      </c>
      <c r="G68">
        <v>0.66047745358090104</v>
      </c>
      <c r="H68" t="s">
        <v>483</v>
      </c>
      <c r="I68">
        <v>0.65354330708661401</v>
      </c>
    </row>
    <row r="69" spans="1:9" x14ac:dyDescent="0.25">
      <c r="A69" s="23" t="s">
        <v>479</v>
      </c>
      <c r="B69" t="s">
        <v>34</v>
      </c>
      <c r="C69" t="s">
        <v>480</v>
      </c>
      <c r="D69" t="s">
        <v>487</v>
      </c>
      <c r="E69">
        <v>0.74087591240875905</v>
      </c>
      <c r="F69" t="s">
        <v>482</v>
      </c>
      <c r="G69">
        <v>0.71731448763250805</v>
      </c>
      <c r="H69" t="s">
        <v>483</v>
      </c>
      <c r="I69">
        <v>0.72890484739676797</v>
      </c>
    </row>
    <row r="70" spans="1:9" x14ac:dyDescent="0.25">
      <c r="A70" s="23" t="s">
        <v>479</v>
      </c>
      <c r="B70" t="s">
        <v>34</v>
      </c>
      <c r="C70" t="s">
        <v>480</v>
      </c>
      <c r="D70" t="s">
        <v>488</v>
      </c>
      <c r="E70">
        <v>0.75855689176688201</v>
      </c>
      <c r="F70" t="s">
        <v>482</v>
      </c>
      <c r="G70">
        <v>0.96698113207547098</v>
      </c>
      <c r="H70" t="s">
        <v>483</v>
      </c>
      <c r="I70">
        <v>0.85018144116122296</v>
      </c>
    </row>
    <row r="71" spans="1:9" x14ac:dyDescent="0.25">
      <c r="A71" s="23" t="s">
        <v>105</v>
      </c>
    </row>
    <row r="72" spans="1:9" x14ac:dyDescent="0.25">
      <c r="A72" s="23" t="s">
        <v>479</v>
      </c>
      <c r="B72" t="s">
        <v>35</v>
      </c>
      <c r="C72" t="s">
        <v>480</v>
      </c>
      <c r="D72" t="s">
        <v>481</v>
      </c>
      <c r="E72">
        <v>0.48919753086419698</v>
      </c>
      <c r="F72" t="s">
        <v>482</v>
      </c>
      <c r="G72">
        <v>0.56106194690265399</v>
      </c>
      <c r="H72" t="s">
        <v>483</v>
      </c>
      <c r="I72">
        <v>0.52267106347897696</v>
      </c>
    </row>
    <row r="73" spans="1:9" x14ac:dyDescent="0.25">
      <c r="A73" s="23" t="s">
        <v>479</v>
      </c>
      <c r="B73" t="s">
        <v>35</v>
      </c>
      <c r="C73" t="s">
        <v>480</v>
      </c>
      <c r="D73" t="s">
        <v>484</v>
      </c>
      <c r="E73">
        <v>0.53111432706222805</v>
      </c>
      <c r="F73" t="s">
        <v>482</v>
      </c>
      <c r="G73">
        <v>0.61474036850921199</v>
      </c>
      <c r="H73" t="s">
        <v>483</v>
      </c>
      <c r="I73">
        <v>0.56987577639751497</v>
      </c>
    </row>
    <row r="74" spans="1:9" x14ac:dyDescent="0.25">
      <c r="A74" s="23" t="s">
        <v>479</v>
      </c>
      <c r="B74" t="s">
        <v>35</v>
      </c>
      <c r="C74" t="s">
        <v>480</v>
      </c>
      <c r="D74" t="s">
        <v>485</v>
      </c>
      <c r="E74">
        <v>0.51719197707736297</v>
      </c>
      <c r="F74" t="s">
        <v>482</v>
      </c>
      <c r="G74">
        <v>0.61921097770154299</v>
      </c>
      <c r="H74" t="s">
        <v>483</v>
      </c>
      <c r="I74">
        <v>0.56362217017954697</v>
      </c>
    </row>
    <row r="75" spans="1:9" x14ac:dyDescent="0.25">
      <c r="A75" s="23" t="s">
        <v>479</v>
      </c>
      <c r="B75" t="s">
        <v>35</v>
      </c>
      <c r="C75" t="s">
        <v>480</v>
      </c>
      <c r="D75" t="s">
        <v>486</v>
      </c>
      <c r="E75">
        <v>0.49728997289972898</v>
      </c>
      <c r="F75" t="s">
        <v>482</v>
      </c>
      <c r="G75">
        <v>0.650709219858156</v>
      </c>
      <c r="H75" t="s">
        <v>483</v>
      </c>
      <c r="I75">
        <v>0.56374807987711195</v>
      </c>
    </row>
    <row r="76" spans="1:9" x14ac:dyDescent="0.25">
      <c r="A76" s="23" t="s">
        <v>479</v>
      </c>
      <c r="B76" t="s">
        <v>35</v>
      </c>
      <c r="C76" t="s">
        <v>480</v>
      </c>
      <c r="D76" t="s">
        <v>487</v>
      </c>
      <c r="E76">
        <v>0.44846050870147203</v>
      </c>
      <c r="F76" t="s">
        <v>482</v>
      </c>
      <c r="G76">
        <v>0.61808118081180796</v>
      </c>
      <c r="H76" t="s">
        <v>483</v>
      </c>
      <c r="I76">
        <v>0.51978277734678002</v>
      </c>
    </row>
    <row r="77" spans="1:9" x14ac:dyDescent="0.25">
      <c r="A77" s="23" t="s">
        <v>479</v>
      </c>
      <c r="B77" t="s">
        <v>35</v>
      </c>
      <c r="C77" t="s">
        <v>480</v>
      </c>
      <c r="D77" t="s">
        <v>488</v>
      </c>
      <c r="E77">
        <v>0.46103896103896103</v>
      </c>
      <c r="F77" t="s">
        <v>482</v>
      </c>
      <c r="G77">
        <v>0.68665377176015396</v>
      </c>
      <c r="H77" t="s">
        <v>483</v>
      </c>
      <c r="I77">
        <v>0.55167055167055101</v>
      </c>
    </row>
    <row r="78" spans="1:9" x14ac:dyDescent="0.25">
      <c r="A78" s="23" t="s">
        <v>106</v>
      </c>
    </row>
    <row r="79" spans="1:9" x14ac:dyDescent="0.25">
      <c r="A79" s="23" t="s">
        <v>479</v>
      </c>
      <c r="B79" t="s">
        <v>36</v>
      </c>
      <c r="C79" t="s">
        <v>480</v>
      </c>
      <c r="D79" t="s">
        <v>481</v>
      </c>
      <c r="E79">
        <v>0.49694189602446398</v>
      </c>
      <c r="F79" t="s">
        <v>482</v>
      </c>
      <c r="G79">
        <v>0.57218309859154903</v>
      </c>
      <c r="H79" t="s">
        <v>483</v>
      </c>
      <c r="I79">
        <v>0.53191489361702105</v>
      </c>
    </row>
    <row r="80" spans="1:9" x14ac:dyDescent="0.25">
      <c r="A80" s="23" t="s">
        <v>479</v>
      </c>
      <c r="B80" t="s">
        <v>36</v>
      </c>
      <c r="C80" t="s">
        <v>480</v>
      </c>
      <c r="D80" t="s">
        <v>484</v>
      </c>
      <c r="E80">
        <v>0.527932960893854</v>
      </c>
      <c r="F80" t="s">
        <v>482</v>
      </c>
      <c r="G80">
        <v>0.61663947797716101</v>
      </c>
      <c r="H80" t="s">
        <v>483</v>
      </c>
      <c r="I80">
        <v>0.56884875846501104</v>
      </c>
    </row>
    <row r="81" spans="1:9" x14ac:dyDescent="0.25">
      <c r="A81" s="23" t="s">
        <v>479</v>
      </c>
      <c r="B81" t="s">
        <v>36</v>
      </c>
      <c r="C81" t="s">
        <v>480</v>
      </c>
      <c r="D81" t="s">
        <v>485</v>
      </c>
      <c r="E81">
        <v>0.53658536585365801</v>
      </c>
      <c r="F81" t="s">
        <v>482</v>
      </c>
      <c r="G81">
        <v>0.65562913907284703</v>
      </c>
      <c r="H81" t="s">
        <v>483</v>
      </c>
      <c r="I81">
        <v>0.59016393442622905</v>
      </c>
    </row>
    <row r="82" spans="1:9" x14ac:dyDescent="0.25">
      <c r="A82" s="23" t="s">
        <v>479</v>
      </c>
      <c r="B82" t="s">
        <v>36</v>
      </c>
      <c r="C82" t="s">
        <v>480</v>
      </c>
      <c r="D82" t="s">
        <v>486</v>
      </c>
      <c r="E82">
        <v>0.53894472361808998</v>
      </c>
      <c r="F82" t="s">
        <v>482</v>
      </c>
      <c r="G82">
        <v>0.69983686786296895</v>
      </c>
      <c r="H82" t="s">
        <v>483</v>
      </c>
      <c r="I82">
        <v>0.60894251242015596</v>
      </c>
    </row>
    <row r="83" spans="1:9" x14ac:dyDescent="0.25">
      <c r="A83" s="23" t="s">
        <v>479</v>
      </c>
      <c r="B83" t="s">
        <v>36</v>
      </c>
      <c r="C83" t="s">
        <v>480</v>
      </c>
      <c r="D83" t="s">
        <v>487</v>
      </c>
      <c r="E83">
        <v>0.45376078914919799</v>
      </c>
      <c r="F83" t="s">
        <v>482</v>
      </c>
      <c r="G83">
        <v>0.75564681724845995</v>
      </c>
      <c r="H83" t="s">
        <v>483</v>
      </c>
      <c r="I83">
        <v>0.56702619414483801</v>
      </c>
    </row>
    <row r="84" spans="1:9" x14ac:dyDescent="0.25">
      <c r="A84" s="23" t="s">
        <v>479</v>
      </c>
      <c r="B84" t="s">
        <v>36</v>
      </c>
      <c r="C84" t="s">
        <v>480</v>
      </c>
      <c r="D84" t="s">
        <v>488</v>
      </c>
      <c r="E84">
        <v>0.30559757942511301</v>
      </c>
      <c r="F84" t="s">
        <v>482</v>
      </c>
      <c r="G84">
        <v>0.893805309734513</v>
      </c>
      <c r="H84" t="s">
        <v>483</v>
      </c>
      <c r="I84">
        <v>0.45546786922209598</v>
      </c>
    </row>
    <row r="85" spans="1:9" x14ac:dyDescent="0.25">
      <c r="A85" s="23" t="s">
        <v>107</v>
      </c>
    </row>
    <row r="86" spans="1:9" x14ac:dyDescent="0.25">
      <c r="A86" s="23" t="s">
        <v>479</v>
      </c>
      <c r="B86" t="s">
        <v>490</v>
      </c>
      <c r="C86" t="s">
        <v>480</v>
      </c>
      <c r="D86" t="s">
        <v>491</v>
      </c>
      <c r="E86">
        <v>0.50073120795554205</v>
      </c>
      <c r="F86" t="s">
        <v>482</v>
      </c>
      <c r="G86">
        <v>0.537098039215686</v>
      </c>
      <c r="H86" t="s">
        <v>483</v>
      </c>
      <c r="I86">
        <v>0.51827745402255299</v>
      </c>
    </row>
    <row r="87" spans="1:9" x14ac:dyDescent="0.25">
      <c r="A87" s="23" t="s">
        <v>479</v>
      </c>
      <c r="B87" t="s">
        <v>490</v>
      </c>
      <c r="C87" t="s">
        <v>480</v>
      </c>
      <c r="D87" t="s">
        <v>492</v>
      </c>
      <c r="E87">
        <v>0.53032786885245897</v>
      </c>
      <c r="F87" t="s">
        <v>482</v>
      </c>
      <c r="G87">
        <v>0.57656319619783103</v>
      </c>
      <c r="H87" t="s">
        <v>483</v>
      </c>
      <c r="I87">
        <v>0.55247989753077598</v>
      </c>
    </row>
    <row r="88" spans="1:9" x14ac:dyDescent="0.25">
      <c r="A88" s="23" t="s">
        <v>479</v>
      </c>
      <c r="B88" t="s">
        <v>490</v>
      </c>
      <c r="C88" t="s">
        <v>480</v>
      </c>
      <c r="D88" t="s">
        <v>493</v>
      </c>
      <c r="E88">
        <v>0.54381687660842404</v>
      </c>
      <c r="F88" t="s">
        <v>482</v>
      </c>
      <c r="G88">
        <v>0.59305760709010302</v>
      </c>
      <c r="H88" t="s">
        <v>483</v>
      </c>
      <c r="I88">
        <v>0.56737087543276998</v>
      </c>
    </row>
    <row r="89" spans="1:9" x14ac:dyDescent="0.25">
      <c r="A89" s="23" t="s">
        <v>479</v>
      </c>
      <c r="B89" t="s">
        <v>490</v>
      </c>
      <c r="C89" t="s">
        <v>480</v>
      </c>
      <c r="D89" t="s">
        <v>494</v>
      </c>
      <c r="E89">
        <v>0.558555033907146</v>
      </c>
      <c r="F89" t="s">
        <v>482</v>
      </c>
      <c r="G89">
        <v>0.61528516017813495</v>
      </c>
      <c r="H89" t="s">
        <v>483</v>
      </c>
      <c r="I89">
        <v>0.58554925148677195</v>
      </c>
    </row>
    <row r="90" spans="1:9" x14ac:dyDescent="0.25">
      <c r="A90" s="23" t="s">
        <v>479</v>
      </c>
      <c r="B90" t="s">
        <v>490</v>
      </c>
      <c r="C90" t="s">
        <v>480</v>
      </c>
      <c r="D90" t="s">
        <v>495</v>
      </c>
      <c r="E90">
        <v>0.57437319189971003</v>
      </c>
      <c r="F90" t="s">
        <v>482</v>
      </c>
      <c r="G90">
        <v>0.67235783829547002</v>
      </c>
      <c r="H90" t="s">
        <v>483</v>
      </c>
      <c r="I90">
        <v>0.61951504908015298</v>
      </c>
    </row>
    <row r="91" spans="1:9" x14ac:dyDescent="0.25">
      <c r="A91" s="23" t="s">
        <v>479</v>
      </c>
      <c r="B91" t="s">
        <v>490</v>
      </c>
      <c r="C91" t="s">
        <v>480</v>
      </c>
      <c r="D91" t="s">
        <v>496</v>
      </c>
      <c r="E91">
        <v>0.566071629055798</v>
      </c>
      <c r="F91" t="s">
        <v>482</v>
      </c>
      <c r="G91">
        <v>0.804018497847233</v>
      </c>
      <c r="H91" t="s">
        <v>483</v>
      </c>
      <c r="I91">
        <v>0.664382659111872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CA2DC-B458-40C4-980E-6633C7555F4C}">
  <sheetPr codeName="Sheet10">
    <tabColor theme="7" tint="0.59999389629810485"/>
  </sheetPr>
  <dimension ref="A1:K91"/>
  <sheetViews>
    <sheetView workbookViewId="0"/>
  </sheetViews>
  <sheetFormatPr defaultRowHeight="15" x14ac:dyDescent="0.25"/>
  <sheetData>
    <row r="1" spans="1:11" x14ac:dyDescent="0.25">
      <c r="A1" s="2" t="s">
        <v>90</v>
      </c>
    </row>
    <row r="3" spans="1:11" x14ac:dyDescent="0.25">
      <c r="A3" s="23" t="s">
        <v>180</v>
      </c>
      <c r="K3" s="1"/>
    </row>
    <row r="4" spans="1:11" x14ac:dyDescent="0.25">
      <c r="A4" s="23" t="s">
        <v>181</v>
      </c>
      <c r="K4" s="1"/>
    </row>
    <row r="5" spans="1:11" x14ac:dyDescent="0.25">
      <c r="A5" s="23" t="s">
        <v>328</v>
      </c>
      <c r="K5" s="1"/>
    </row>
    <row r="6" spans="1:11" x14ac:dyDescent="0.25">
      <c r="A6" s="23" t="s">
        <v>94</v>
      </c>
      <c r="K6" s="1"/>
    </row>
    <row r="7" spans="1:11" x14ac:dyDescent="0.25">
      <c r="A7" s="23" t="s">
        <v>95</v>
      </c>
      <c r="K7" s="1"/>
    </row>
    <row r="8" spans="1:11" x14ac:dyDescent="0.25">
      <c r="A8" s="23" t="s">
        <v>96</v>
      </c>
      <c r="K8" s="1"/>
    </row>
    <row r="9" spans="1:11" x14ac:dyDescent="0.25">
      <c r="A9" s="23" t="s">
        <v>401</v>
      </c>
      <c r="K9" s="1"/>
    </row>
    <row r="10" spans="1:11" x14ac:dyDescent="0.25">
      <c r="A10" s="23" t="s">
        <v>402</v>
      </c>
      <c r="K10" s="1"/>
    </row>
    <row r="11" spans="1:11" x14ac:dyDescent="0.25">
      <c r="A11" s="23" t="s">
        <v>403</v>
      </c>
      <c r="K11" s="1"/>
    </row>
    <row r="12" spans="1:11" x14ac:dyDescent="0.25">
      <c r="A12" s="23" t="s">
        <v>404</v>
      </c>
      <c r="K12" s="1"/>
    </row>
    <row r="13" spans="1:11" x14ac:dyDescent="0.25">
      <c r="A13" s="23" t="s">
        <v>405</v>
      </c>
      <c r="K13" s="1"/>
    </row>
    <row r="14" spans="1:11" x14ac:dyDescent="0.25">
      <c r="A14" s="23" t="s">
        <v>406</v>
      </c>
      <c r="K14" s="1"/>
    </row>
    <row r="15" spans="1:11" x14ac:dyDescent="0.25">
      <c r="A15" s="23" t="s">
        <v>97</v>
      </c>
      <c r="K15" s="1"/>
    </row>
    <row r="16" spans="1:11" x14ac:dyDescent="0.25">
      <c r="A16" s="23" t="s">
        <v>407</v>
      </c>
      <c r="K16" s="1"/>
    </row>
    <row r="17" spans="1:11" x14ac:dyDescent="0.25">
      <c r="A17" s="23" t="s">
        <v>408</v>
      </c>
      <c r="K17" s="1"/>
    </row>
    <row r="18" spans="1:11" x14ac:dyDescent="0.25">
      <c r="A18" s="23" t="s">
        <v>409</v>
      </c>
      <c r="K18" s="1"/>
    </row>
    <row r="19" spans="1:11" x14ac:dyDescent="0.25">
      <c r="A19" s="23" t="s">
        <v>410</v>
      </c>
      <c r="K19" s="1"/>
    </row>
    <row r="20" spans="1:11" x14ac:dyDescent="0.25">
      <c r="A20" s="23" t="s">
        <v>411</v>
      </c>
      <c r="K20" s="1"/>
    </row>
    <row r="21" spans="1:11" x14ac:dyDescent="0.25">
      <c r="A21" s="23" t="s">
        <v>412</v>
      </c>
      <c r="K21" s="1"/>
    </row>
    <row r="22" spans="1:11" x14ac:dyDescent="0.25">
      <c r="A22" s="23" t="s">
        <v>98</v>
      </c>
      <c r="K22" s="1"/>
    </row>
    <row r="23" spans="1:11" x14ac:dyDescent="0.25">
      <c r="A23" s="23" t="s">
        <v>413</v>
      </c>
      <c r="K23" s="1"/>
    </row>
    <row r="24" spans="1:11" x14ac:dyDescent="0.25">
      <c r="A24" s="23" t="s">
        <v>414</v>
      </c>
      <c r="K24" s="1"/>
    </row>
    <row r="25" spans="1:11" x14ac:dyDescent="0.25">
      <c r="A25" s="23" t="s">
        <v>415</v>
      </c>
      <c r="K25" s="1"/>
    </row>
    <row r="26" spans="1:11" x14ac:dyDescent="0.25">
      <c r="A26" s="23" t="s">
        <v>416</v>
      </c>
      <c r="K26" s="1"/>
    </row>
    <row r="27" spans="1:11" x14ac:dyDescent="0.25">
      <c r="A27" s="23" t="s">
        <v>417</v>
      </c>
      <c r="K27" s="1"/>
    </row>
    <row r="28" spans="1:11" x14ac:dyDescent="0.25">
      <c r="A28" s="23" t="s">
        <v>418</v>
      </c>
      <c r="K28" s="1"/>
    </row>
    <row r="29" spans="1:11" x14ac:dyDescent="0.25">
      <c r="A29" s="23" t="s">
        <v>99</v>
      </c>
      <c r="K29" s="1"/>
    </row>
    <row r="30" spans="1:11" x14ac:dyDescent="0.25">
      <c r="A30" s="23" t="s">
        <v>419</v>
      </c>
      <c r="K30" s="1"/>
    </row>
    <row r="31" spans="1:11" x14ac:dyDescent="0.25">
      <c r="A31" s="23" t="s">
        <v>420</v>
      </c>
      <c r="K31" s="1"/>
    </row>
    <row r="32" spans="1:11" x14ac:dyDescent="0.25">
      <c r="A32" s="23" t="s">
        <v>421</v>
      </c>
      <c r="K32" s="1"/>
    </row>
    <row r="33" spans="1:11" x14ac:dyDescent="0.25">
      <c r="A33" s="23" t="s">
        <v>422</v>
      </c>
      <c r="K33" s="1"/>
    </row>
    <row r="34" spans="1:11" x14ac:dyDescent="0.25">
      <c r="A34" s="23" t="s">
        <v>423</v>
      </c>
      <c r="K34" s="1"/>
    </row>
    <row r="35" spans="1:11" x14ac:dyDescent="0.25">
      <c r="A35" s="23" t="s">
        <v>424</v>
      </c>
      <c r="K35" s="1"/>
    </row>
    <row r="36" spans="1:11" x14ac:dyDescent="0.25">
      <c r="A36" s="23" t="s">
        <v>100</v>
      </c>
      <c r="K36" s="1"/>
    </row>
    <row r="37" spans="1:11" x14ac:dyDescent="0.25">
      <c r="A37" s="23" t="s">
        <v>425</v>
      </c>
      <c r="K37" s="1"/>
    </row>
    <row r="38" spans="1:11" x14ac:dyDescent="0.25">
      <c r="A38" s="23" t="s">
        <v>426</v>
      </c>
      <c r="K38" s="1"/>
    </row>
    <row r="39" spans="1:11" x14ac:dyDescent="0.25">
      <c r="A39" s="23" t="s">
        <v>427</v>
      </c>
      <c r="K39" s="1"/>
    </row>
    <row r="40" spans="1:11" x14ac:dyDescent="0.25">
      <c r="A40" s="23" t="s">
        <v>428</v>
      </c>
      <c r="K40" s="1"/>
    </row>
    <row r="41" spans="1:11" x14ac:dyDescent="0.25">
      <c r="A41" s="23" t="s">
        <v>429</v>
      </c>
      <c r="K41" s="1"/>
    </row>
    <row r="42" spans="1:11" x14ac:dyDescent="0.25">
      <c r="A42" s="23" t="s">
        <v>430</v>
      </c>
      <c r="K42" s="1"/>
    </row>
    <row r="43" spans="1:11" x14ac:dyDescent="0.25">
      <c r="A43" s="23" t="s">
        <v>101</v>
      </c>
      <c r="K43" s="1"/>
    </row>
    <row r="44" spans="1:11" x14ac:dyDescent="0.25">
      <c r="A44" s="23" t="s">
        <v>431</v>
      </c>
      <c r="K44" s="1"/>
    </row>
    <row r="45" spans="1:11" x14ac:dyDescent="0.25">
      <c r="A45" s="23" t="s">
        <v>432</v>
      </c>
      <c r="K45" s="1"/>
    </row>
    <row r="46" spans="1:11" x14ac:dyDescent="0.25">
      <c r="A46" s="23" t="s">
        <v>433</v>
      </c>
      <c r="K46" s="1"/>
    </row>
    <row r="47" spans="1:11" x14ac:dyDescent="0.25">
      <c r="A47" s="23" t="s">
        <v>434</v>
      </c>
      <c r="K47" s="1"/>
    </row>
    <row r="48" spans="1:11" x14ac:dyDescent="0.25">
      <c r="A48" s="23" t="s">
        <v>435</v>
      </c>
      <c r="K48" s="1"/>
    </row>
    <row r="49" spans="1:11" x14ac:dyDescent="0.25">
      <c r="A49" s="23" t="s">
        <v>436</v>
      </c>
      <c r="K49" s="1"/>
    </row>
    <row r="50" spans="1:11" x14ac:dyDescent="0.25">
      <c r="A50" s="23" t="s">
        <v>102</v>
      </c>
      <c r="K50" s="1"/>
    </row>
    <row r="51" spans="1:11" x14ac:dyDescent="0.25">
      <c r="A51" s="23" t="s">
        <v>437</v>
      </c>
      <c r="K51" s="1"/>
    </row>
    <row r="52" spans="1:11" x14ac:dyDescent="0.25">
      <c r="A52" s="23" t="s">
        <v>438</v>
      </c>
      <c r="K52" s="1"/>
    </row>
    <row r="53" spans="1:11" x14ac:dyDescent="0.25">
      <c r="A53" s="23" t="s">
        <v>439</v>
      </c>
      <c r="K53" s="1"/>
    </row>
    <row r="54" spans="1:11" x14ac:dyDescent="0.25">
      <c r="A54" s="23" t="s">
        <v>440</v>
      </c>
      <c r="K54" s="1"/>
    </row>
    <row r="55" spans="1:11" x14ac:dyDescent="0.25">
      <c r="A55" s="23" t="s">
        <v>441</v>
      </c>
      <c r="K55" s="1"/>
    </row>
    <row r="56" spans="1:11" x14ac:dyDescent="0.25">
      <c r="A56" s="23" t="s">
        <v>442</v>
      </c>
      <c r="K56" s="1"/>
    </row>
    <row r="57" spans="1:11" x14ac:dyDescent="0.25">
      <c r="A57" s="23" t="s">
        <v>103</v>
      </c>
      <c r="K57" s="1"/>
    </row>
    <row r="58" spans="1:11" x14ac:dyDescent="0.25">
      <c r="A58" s="23" t="s">
        <v>443</v>
      </c>
      <c r="K58" s="1"/>
    </row>
    <row r="59" spans="1:11" x14ac:dyDescent="0.25">
      <c r="A59" s="23" t="s">
        <v>444</v>
      </c>
      <c r="K59" s="1"/>
    </row>
    <row r="60" spans="1:11" x14ac:dyDescent="0.25">
      <c r="A60" s="23" t="s">
        <v>445</v>
      </c>
      <c r="K60" s="1"/>
    </row>
    <row r="61" spans="1:11" x14ac:dyDescent="0.25">
      <c r="A61" s="23" t="s">
        <v>446</v>
      </c>
      <c r="K61" s="1"/>
    </row>
    <row r="62" spans="1:11" x14ac:dyDescent="0.25">
      <c r="A62" s="23" t="s">
        <v>447</v>
      </c>
      <c r="K62" s="1"/>
    </row>
    <row r="63" spans="1:11" x14ac:dyDescent="0.25">
      <c r="A63" s="23" t="s">
        <v>448</v>
      </c>
      <c r="K63" s="1"/>
    </row>
    <row r="64" spans="1:11" x14ac:dyDescent="0.25">
      <c r="A64" s="23" t="s">
        <v>104</v>
      </c>
      <c r="K64" s="1"/>
    </row>
    <row r="65" spans="1:11" x14ac:dyDescent="0.25">
      <c r="A65" s="23" t="s">
        <v>449</v>
      </c>
      <c r="K65" s="1"/>
    </row>
    <row r="66" spans="1:11" x14ac:dyDescent="0.25">
      <c r="A66" s="23" t="s">
        <v>450</v>
      </c>
      <c r="K66" s="1"/>
    </row>
    <row r="67" spans="1:11" x14ac:dyDescent="0.25">
      <c r="A67" s="23" t="s">
        <v>451</v>
      </c>
      <c r="K67" s="1"/>
    </row>
    <row r="68" spans="1:11" x14ac:dyDescent="0.25">
      <c r="A68" s="23" t="s">
        <v>452</v>
      </c>
      <c r="K68" s="1"/>
    </row>
    <row r="69" spans="1:11" x14ac:dyDescent="0.25">
      <c r="A69" s="23" t="s">
        <v>453</v>
      </c>
      <c r="K69" s="1"/>
    </row>
    <row r="70" spans="1:11" x14ac:dyDescent="0.25">
      <c r="A70" s="23" t="s">
        <v>454</v>
      </c>
      <c r="K70" s="1"/>
    </row>
    <row r="71" spans="1:11" x14ac:dyDescent="0.25">
      <c r="A71" s="23" t="s">
        <v>105</v>
      </c>
      <c r="K71" s="1"/>
    </row>
    <row r="72" spans="1:11" x14ac:dyDescent="0.25">
      <c r="A72" s="23" t="s">
        <v>455</v>
      </c>
      <c r="K72" s="1"/>
    </row>
    <row r="73" spans="1:11" x14ac:dyDescent="0.25">
      <c r="A73" s="23" t="s">
        <v>456</v>
      </c>
      <c r="K73" s="1"/>
    </row>
    <row r="74" spans="1:11" x14ac:dyDescent="0.25">
      <c r="A74" s="23" t="s">
        <v>457</v>
      </c>
      <c r="K74" s="1"/>
    </row>
    <row r="75" spans="1:11" x14ac:dyDescent="0.25">
      <c r="A75" s="23" t="s">
        <v>458</v>
      </c>
      <c r="K75" s="1"/>
    </row>
    <row r="76" spans="1:11" x14ac:dyDescent="0.25">
      <c r="A76" s="23" t="s">
        <v>459</v>
      </c>
      <c r="K76" s="1"/>
    </row>
    <row r="77" spans="1:11" x14ac:dyDescent="0.25">
      <c r="A77" s="23" t="s">
        <v>460</v>
      </c>
      <c r="K77" s="1"/>
    </row>
    <row r="78" spans="1:11" x14ac:dyDescent="0.25">
      <c r="A78" s="23" t="s">
        <v>106</v>
      </c>
      <c r="K78" s="1"/>
    </row>
    <row r="79" spans="1:11" x14ac:dyDescent="0.25">
      <c r="A79" s="23" t="s">
        <v>461</v>
      </c>
      <c r="K79" s="1"/>
    </row>
    <row r="80" spans="1:11" x14ac:dyDescent="0.25">
      <c r="A80" s="23" t="s">
        <v>462</v>
      </c>
      <c r="K80" s="1"/>
    </row>
    <row r="81" spans="1:11" x14ac:dyDescent="0.25">
      <c r="A81" s="23" t="s">
        <v>463</v>
      </c>
      <c r="K81" s="1"/>
    </row>
    <row r="82" spans="1:11" x14ac:dyDescent="0.25">
      <c r="A82" s="23" t="s">
        <v>464</v>
      </c>
      <c r="K82" s="1"/>
    </row>
    <row r="83" spans="1:11" x14ac:dyDescent="0.25">
      <c r="A83" s="23" t="s">
        <v>465</v>
      </c>
      <c r="K83" s="1"/>
    </row>
    <row r="84" spans="1:11" x14ac:dyDescent="0.25">
      <c r="A84" s="23" t="s">
        <v>466</v>
      </c>
      <c r="K84" s="1"/>
    </row>
    <row r="85" spans="1:11" x14ac:dyDescent="0.25">
      <c r="A85" s="23" t="s">
        <v>107</v>
      </c>
      <c r="K85" s="1"/>
    </row>
    <row r="86" spans="1:11" x14ac:dyDescent="0.25">
      <c r="A86" s="23" t="s">
        <v>467</v>
      </c>
      <c r="K86" s="1"/>
    </row>
    <row r="87" spans="1:11" x14ac:dyDescent="0.25">
      <c r="A87" s="23" t="s">
        <v>468</v>
      </c>
    </row>
    <row r="88" spans="1:11" x14ac:dyDescent="0.25">
      <c r="A88" s="23" t="s">
        <v>469</v>
      </c>
    </row>
    <row r="89" spans="1:11" x14ac:dyDescent="0.25">
      <c r="A89" s="23" t="s">
        <v>470</v>
      </c>
    </row>
    <row r="90" spans="1:11" x14ac:dyDescent="0.25">
      <c r="A90" s="23" t="s">
        <v>471</v>
      </c>
    </row>
    <row r="91" spans="1:11" x14ac:dyDescent="0.25">
      <c r="A91" s="23" t="s">
        <v>472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DDD7C-4D70-4557-99E5-ADA639C57BE4}">
  <sheetPr codeName="Sheet15"/>
  <dimension ref="A1:K91"/>
  <sheetViews>
    <sheetView workbookViewId="0"/>
  </sheetViews>
  <sheetFormatPr defaultRowHeight="15" x14ac:dyDescent="0.25"/>
  <sheetData>
    <row r="1" spans="1:11" x14ac:dyDescent="0.25">
      <c r="A1" s="2" t="s">
        <v>90</v>
      </c>
    </row>
    <row r="3" spans="1:11" x14ac:dyDescent="0.25">
      <c r="A3" s="23" t="s">
        <v>180</v>
      </c>
      <c r="K3" s="1"/>
    </row>
    <row r="4" spans="1:11" x14ac:dyDescent="0.25">
      <c r="A4" s="23" t="s">
        <v>181</v>
      </c>
      <c r="K4" s="1"/>
    </row>
    <row r="5" spans="1:11" x14ac:dyDescent="0.25">
      <c r="A5" s="23" t="s">
        <v>328</v>
      </c>
      <c r="K5" s="1"/>
    </row>
    <row r="6" spans="1:11" x14ac:dyDescent="0.25">
      <c r="A6" s="23" t="s">
        <v>94</v>
      </c>
      <c r="K6" s="1"/>
    </row>
    <row r="7" spans="1:11" x14ac:dyDescent="0.25">
      <c r="A7" s="23" t="s">
        <v>95</v>
      </c>
      <c r="K7" s="1"/>
    </row>
    <row r="8" spans="1:11" x14ac:dyDescent="0.25">
      <c r="A8" s="23" t="s">
        <v>96</v>
      </c>
      <c r="K8" s="1"/>
    </row>
    <row r="9" spans="1:11" x14ac:dyDescent="0.25">
      <c r="A9" s="23" t="s">
        <v>479</v>
      </c>
      <c r="B9" t="s">
        <v>15</v>
      </c>
      <c r="C9" t="s">
        <v>480</v>
      </c>
      <c r="D9" t="s">
        <v>481</v>
      </c>
      <c r="E9">
        <v>0.51313131313131299</v>
      </c>
      <c r="F9" t="s">
        <v>482</v>
      </c>
      <c r="G9">
        <v>0.432708688245315</v>
      </c>
      <c r="H9" t="s">
        <v>483</v>
      </c>
      <c r="I9">
        <v>0.46950092421441703</v>
      </c>
      <c r="K9" s="1"/>
    </row>
    <row r="10" spans="1:11" x14ac:dyDescent="0.25">
      <c r="A10" s="23" t="s">
        <v>479</v>
      </c>
      <c r="B10" t="s">
        <v>15</v>
      </c>
      <c r="C10" t="s">
        <v>480</v>
      </c>
      <c r="D10" t="s">
        <v>484</v>
      </c>
      <c r="E10">
        <v>0.54913294797687795</v>
      </c>
      <c r="F10" t="s">
        <v>482</v>
      </c>
      <c r="G10">
        <v>0.44881889763779498</v>
      </c>
      <c r="H10" t="s">
        <v>483</v>
      </c>
      <c r="I10">
        <v>0.49393414211438402</v>
      </c>
      <c r="K10" s="1"/>
    </row>
    <row r="11" spans="1:11" x14ac:dyDescent="0.25">
      <c r="A11" s="23" t="s">
        <v>479</v>
      </c>
      <c r="B11" t="s">
        <v>15</v>
      </c>
      <c r="C11" t="s">
        <v>480</v>
      </c>
      <c r="D11" t="s">
        <v>485</v>
      </c>
      <c r="E11">
        <v>0.53935185185185097</v>
      </c>
      <c r="F11" t="s">
        <v>482</v>
      </c>
      <c r="G11">
        <v>0.35572519083969401</v>
      </c>
      <c r="H11" t="s">
        <v>483</v>
      </c>
      <c r="I11">
        <v>0.428702851885924</v>
      </c>
      <c r="K11" s="1"/>
    </row>
    <row r="12" spans="1:11" x14ac:dyDescent="0.25">
      <c r="A12" s="23" t="s">
        <v>479</v>
      </c>
      <c r="B12" t="s">
        <v>15</v>
      </c>
      <c r="C12" t="s">
        <v>480</v>
      </c>
      <c r="D12" t="s">
        <v>486</v>
      </c>
      <c r="E12">
        <v>0.60554371002132201</v>
      </c>
      <c r="F12" t="s">
        <v>482</v>
      </c>
      <c r="G12">
        <v>0.40863309352517901</v>
      </c>
      <c r="H12" t="s">
        <v>483</v>
      </c>
      <c r="I12">
        <v>0.487972508591065</v>
      </c>
      <c r="K12" s="1"/>
    </row>
    <row r="13" spans="1:11" x14ac:dyDescent="0.25">
      <c r="A13" s="23" t="s">
        <v>479</v>
      </c>
      <c r="B13" t="s">
        <v>15</v>
      </c>
      <c r="C13" t="s">
        <v>480</v>
      </c>
      <c r="D13" t="s">
        <v>487</v>
      </c>
      <c r="E13">
        <v>0.71857410881801098</v>
      </c>
      <c r="F13" t="s">
        <v>482</v>
      </c>
      <c r="G13">
        <v>0.47934918648310298</v>
      </c>
      <c r="H13" t="s">
        <v>483</v>
      </c>
      <c r="I13">
        <v>0.57507507507507505</v>
      </c>
      <c r="K13" s="1"/>
    </row>
    <row r="14" spans="1:11" x14ac:dyDescent="0.25">
      <c r="A14" s="23" t="s">
        <v>479</v>
      </c>
      <c r="B14" t="s">
        <v>15</v>
      </c>
      <c r="C14" t="s">
        <v>480</v>
      </c>
      <c r="D14" t="s">
        <v>488</v>
      </c>
      <c r="E14">
        <v>0.74358974358974295</v>
      </c>
      <c r="F14" t="s">
        <v>482</v>
      </c>
      <c r="G14">
        <v>0.88145896656534894</v>
      </c>
      <c r="H14" t="s">
        <v>483</v>
      </c>
      <c r="I14">
        <v>0.80667593880389399</v>
      </c>
      <c r="K14" s="1"/>
    </row>
    <row r="15" spans="1:11" x14ac:dyDescent="0.25">
      <c r="A15" s="23" t="s">
        <v>97</v>
      </c>
      <c r="K15" s="1"/>
    </row>
    <row r="16" spans="1:11" x14ac:dyDescent="0.25">
      <c r="A16" s="23" t="s">
        <v>479</v>
      </c>
      <c r="B16" t="s">
        <v>27</v>
      </c>
      <c r="C16" t="s">
        <v>480</v>
      </c>
      <c r="D16" t="s">
        <v>481</v>
      </c>
      <c r="E16">
        <v>0.52622673434856104</v>
      </c>
      <c r="F16" t="s">
        <v>482</v>
      </c>
      <c r="G16">
        <v>0.50816993464052196</v>
      </c>
      <c r="H16" t="s">
        <v>483</v>
      </c>
      <c r="I16">
        <v>0.51704073150457097</v>
      </c>
      <c r="K16" s="1"/>
    </row>
    <row r="17" spans="1:11" x14ac:dyDescent="0.25">
      <c r="A17" s="23" t="s">
        <v>479</v>
      </c>
      <c r="B17" t="s">
        <v>27</v>
      </c>
      <c r="C17" t="s">
        <v>480</v>
      </c>
      <c r="D17" t="s">
        <v>484</v>
      </c>
      <c r="E17">
        <v>0.55750487329434695</v>
      </c>
      <c r="F17" t="s">
        <v>482</v>
      </c>
      <c r="G17">
        <v>0.42686567164179101</v>
      </c>
      <c r="H17" t="s">
        <v>483</v>
      </c>
      <c r="I17">
        <v>0.48351648351648302</v>
      </c>
      <c r="K17" s="1"/>
    </row>
    <row r="18" spans="1:11" x14ac:dyDescent="0.25">
      <c r="A18" s="23" t="s">
        <v>479</v>
      </c>
      <c r="B18" t="s">
        <v>27</v>
      </c>
      <c r="C18" t="s">
        <v>480</v>
      </c>
      <c r="D18" t="s">
        <v>485</v>
      </c>
      <c r="E18">
        <v>0.59236641221373998</v>
      </c>
      <c r="F18" t="s">
        <v>482</v>
      </c>
      <c r="G18">
        <v>0.56477438136826696</v>
      </c>
      <c r="H18" t="s">
        <v>483</v>
      </c>
      <c r="I18">
        <v>0.57824143070044698</v>
      </c>
      <c r="K18" s="1"/>
    </row>
    <row r="19" spans="1:11" x14ac:dyDescent="0.25">
      <c r="A19" s="23" t="s">
        <v>479</v>
      </c>
      <c r="B19" t="s">
        <v>27</v>
      </c>
      <c r="C19" t="s">
        <v>480</v>
      </c>
      <c r="D19" t="s">
        <v>486</v>
      </c>
      <c r="E19">
        <v>0.61948529411764697</v>
      </c>
      <c r="F19" t="s">
        <v>482</v>
      </c>
      <c r="G19">
        <v>0.44873501997336801</v>
      </c>
      <c r="H19" t="s">
        <v>483</v>
      </c>
      <c r="I19">
        <v>0.52046332046332</v>
      </c>
      <c r="K19" s="1"/>
    </row>
    <row r="20" spans="1:11" x14ac:dyDescent="0.25">
      <c r="A20" s="23" t="s">
        <v>479</v>
      </c>
      <c r="B20" t="s">
        <v>27</v>
      </c>
      <c r="C20" t="s">
        <v>480</v>
      </c>
      <c r="D20" t="s">
        <v>487</v>
      </c>
      <c r="E20">
        <v>0.71621621621621601</v>
      </c>
      <c r="F20" t="s">
        <v>482</v>
      </c>
      <c r="G20">
        <v>0.63941018766755997</v>
      </c>
      <c r="H20" t="s">
        <v>483</v>
      </c>
      <c r="I20">
        <v>0.67563739376770504</v>
      </c>
      <c r="K20" s="1"/>
    </row>
    <row r="21" spans="1:11" x14ac:dyDescent="0.25">
      <c r="A21" s="23" t="s">
        <v>479</v>
      </c>
      <c r="B21" t="s">
        <v>27</v>
      </c>
      <c r="C21" t="s">
        <v>480</v>
      </c>
      <c r="D21" t="s">
        <v>488</v>
      </c>
      <c r="E21">
        <v>0.87745839636913703</v>
      </c>
      <c r="F21" t="s">
        <v>482</v>
      </c>
      <c r="G21">
        <v>0.72139303482587003</v>
      </c>
      <c r="H21" t="s">
        <v>483</v>
      </c>
      <c r="I21">
        <v>0.79180887372013598</v>
      </c>
      <c r="K21" s="1"/>
    </row>
    <row r="22" spans="1:11" x14ac:dyDescent="0.25">
      <c r="A22" s="23" t="s">
        <v>98</v>
      </c>
      <c r="K22" s="1"/>
    </row>
    <row r="23" spans="1:11" x14ac:dyDescent="0.25">
      <c r="A23" s="23" t="s">
        <v>479</v>
      </c>
      <c r="B23" t="s">
        <v>28</v>
      </c>
      <c r="C23" t="s">
        <v>480</v>
      </c>
      <c r="D23" t="s">
        <v>481</v>
      </c>
      <c r="E23">
        <v>0.50615114235500802</v>
      </c>
      <c r="F23" t="s">
        <v>482</v>
      </c>
      <c r="G23">
        <v>0.49315068493150599</v>
      </c>
      <c r="H23" t="s">
        <v>483</v>
      </c>
      <c r="I23">
        <v>0.49956634865568</v>
      </c>
      <c r="K23" s="1"/>
    </row>
    <row r="24" spans="1:11" x14ac:dyDescent="0.25">
      <c r="A24" s="23" t="s">
        <v>479</v>
      </c>
      <c r="B24" t="s">
        <v>28</v>
      </c>
      <c r="C24" t="s">
        <v>480</v>
      </c>
      <c r="D24" t="s">
        <v>484</v>
      </c>
      <c r="E24">
        <v>0.55576559546313797</v>
      </c>
      <c r="F24" t="s">
        <v>482</v>
      </c>
      <c r="G24">
        <v>0.46153846153846101</v>
      </c>
      <c r="H24" t="s">
        <v>483</v>
      </c>
      <c r="I24">
        <v>0.50428816466552295</v>
      </c>
      <c r="K24" s="1"/>
    </row>
    <row r="25" spans="1:11" x14ac:dyDescent="0.25">
      <c r="A25" s="23" t="s">
        <v>479</v>
      </c>
      <c r="B25" t="s">
        <v>28</v>
      </c>
      <c r="C25" t="s">
        <v>480</v>
      </c>
      <c r="D25" t="s">
        <v>485</v>
      </c>
      <c r="E25">
        <v>0.53677932405566597</v>
      </c>
      <c r="F25" t="s">
        <v>482</v>
      </c>
      <c r="G25">
        <v>0.43130990415335402</v>
      </c>
      <c r="H25" t="s">
        <v>483</v>
      </c>
      <c r="I25">
        <v>0.478299379982285</v>
      </c>
      <c r="K25" s="1"/>
    </row>
    <row r="26" spans="1:11" x14ac:dyDescent="0.25">
      <c r="A26" s="23" t="s">
        <v>479</v>
      </c>
      <c r="B26" t="s">
        <v>28</v>
      </c>
      <c r="C26" t="s">
        <v>480</v>
      </c>
      <c r="D26" t="s">
        <v>486</v>
      </c>
      <c r="E26">
        <v>0.56652360515021405</v>
      </c>
      <c r="F26" t="s">
        <v>482</v>
      </c>
      <c r="G26">
        <v>0.417721518987341</v>
      </c>
      <c r="H26" t="s">
        <v>483</v>
      </c>
      <c r="I26">
        <v>0.48087431693989002</v>
      </c>
      <c r="K26" s="1"/>
    </row>
    <row r="27" spans="1:11" x14ac:dyDescent="0.25">
      <c r="A27" s="23" t="s">
        <v>479</v>
      </c>
      <c r="B27" t="s">
        <v>28</v>
      </c>
      <c r="C27" t="s">
        <v>480</v>
      </c>
      <c r="D27" t="s">
        <v>487</v>
      </c>
      <c r="E27">
        <v>0.66390041493775898</v>
      </c>
      <c r="F27" t="s">
        <v>482</v>
      </c>
      <c r="G27">
        <v>0.45911047345767497</v>
      </c>
      <c r="H27" t="s">
        <v>483</v>
      </c>
      <c r="I27">
        <v>0.54283290924512295</v>
      </c>
      <c r="K27" s="1"/>
    </row>
    <row r="28" spans="1:11" x14ac:dyDescent="0.25">
      <c r="A28" s="23" t="s">
        <v>479</v>
      </c>
      <c r="B28" t="s">
        <v>28</v>
      </c>
      <c r="C28" t="s">
        <v>480</v>
      </c>
      <c r="D28" t="s">
        <v>488</v>
      </c>
      <c r="E28">
        <v>0.77645502645502595</v>
      </c>
      <c r="F28" t="s">
        <v>482</v>
      </c>
      <c r="G28">
        <v>0.78371161548731605</v>
      </c>
      <c r="H28" t="s">
        <v>483</v>
      </c>
      <c r="I28">
        <v>0.78006644518272406</v>
      </c>
      <c r="K28" s="1"/>
    </row>
    <row r="29" spans="1:11" x14ac:dyDescent="0.25">
      <c r="A29" s="23" t="s">
        <v>99</v>
      </c>
      <c r="K29" s="1"/>
    </row>
    <row r="30" spans="1:11" x14ac:dyDescent="0.25">
      <c r="A30" s="23" t="s">
        <v>479</v>
      </c>
      <c r="B30" t="s">
        <v>29</v>
      </c>
      <c r="C30" t="s">
        <v>480</v>
      </c>
      <c r="D30" t="s">
        <v>481</v>
      </c>
      <c r="E30">
        <v>0.48235294117646998</v>
      </c>
      <c r="F30" t="s">
        <v>482</v>
      </c>
      <c r="G30">
        <v>0.52564102564102499</v>
      </c>
      <c r="H30" t="s">
        <v>483</v>
      </c>
      <c r="I30">
        <v>0.503067484662576</v>
      </c>
      <c r="K30" s="1"/>
    </row>
    <row r="31" spans="1:11" x14ac:dyDescent="0.25">
      <c r="A31" s="23" t="s">
        <v>479</v>
      </c>
      <c r="B31" t="s">
        <v>29</v>
      </c>
      <c r="C31" t="s">
        <v>480</v>
      </c>
      <c r="D31" t="s">
        <v>484</v>
      </c>
      <c r="E31">
        <v>0.48557692307692302</v>
      </c>
      <c r="F31" t="s">
        <v>482</v>
      </c>
      <c r="G31">
        <v>0.57062146892655297</v>
      </c>
      <c r="H31" t="s">
        <v>483</v>
      </c>
      <c r="I31">
        <v>0.52467532467532396</v>
      </c>
      <c r="K31" s="1"/>
    </row>
    <row r="32" spans="1:11" x14ac:dyDescent="0.25">
      <c r="A32" s="23" t="s">
        <v>479</v>
      </c>
      <c r="B32" t="s">
        <v>29</v>
      </c>
      <c r="C32" t="s">
        <v>480</v>
      </c>
      <c r="D32" t="s">
        <v>485</v>
      </c>
      <c r="E32">
        <v>0.472727272727272</v>
      </c>
      <c r="F32" t="s">
        <v>482</v>
      </c>
      <c r="G32">
        <v>0.55750487329434695</v>
      </c>
      <c r="H32" t="s">
        <v>483</v>
      </c>
      <c r="I32">
        <v>0.51162790697674398</v>
      </c>
      <c r="K32" s="1"/>
    </row>
    <row r="33" spans="1:11" x14ac:dyDescent="0.25">
      <c r="A33" s="23" t="s">
        <v>479</v>
      </c>
      <c r="B33" t="s">
        <v>29</v>
      </c>
      <c r="C33" t="s">
        <v>480</v>
      </c>
      <c r="D33" t="s">
        <v>486</v>
      </c>
      <c r="E33">
        <v>0.455149501661129</v>
      </c>
      <c r="F33" t="s">
        <v>482</v>
      </c>
      <c r="G33">
        <v>0.53831041257367296</v>
      </c>
      <c r="H33" t="s">
        <v>483</v>
      </c>
      <c r="I33">
        <v>0.49324932493249302</v>
      </c>
      <c r="K33" s="1"/>
    </row>
    <row r="34" spans="1:11" x14ac:dyDescent="0.25">
      <c r="A34" s="23" t="s">
        <v>479</v>
      </c>
      <c r="B34" t="s">
        <v>29</v>
      </c>
      <c r="C34" t="s">
        <v>480</v>
      </c>
      <c r="D34" t="s">
        <v>487</v>
      </c>
      <c r="E34">
        <v>0.51114023591087798</v>
      </c>
      <c r="F34" t="s">
        <v>482</v>
      </c>
      <c r="G34">
        <v>0.85714285714285698</v>
      </c>
      <c r="H34" t="s">
        <v>483</v>
      </c>
      <c r="I34">
        <v>0.64039408866994996</v>
      </c>
      <c r="K34" s="1"/>
    </row>
    <row r="35" spans="1:11" x14ac:dyDescent="0.25">
      <c r="A35" s="23" t="s">
        <v>479</v>
      </c>
      <c r="B35" t="s">
        <v>29</v>
      </c>
      <c r="C35" t="s">
        <v>480</v>
      </c>
      <c r="D35" t="s">
        <v>488</v>
      </c>
      <c r="E35">
        <v>0.54749999999999999</v>
      </c>
      <c r="F35" t="s">
        <v>482</v>
      </c>
      <c r="G35">
        <v>0.45720250521920602</v>
      </c>
      <c r="H35" t="s">
        <v>483</v>
      </c>
      <c r="I35">
        <v>0.49829351535836103</v>
      </c>
      <c r="K35" s="1"/>
    </row>
    <row r="36" spans="1:11" x14ac:dyDescent="0.25">
      <c r="A36" s="23" t="s">
        <v>100</v>
      </c>
      <c r="K36" s="1"/>
    </row>
    <row r="37" spans="1:11" x14ac:dyDescent="0.25">
      <c r="A37" s="23" t="s">
        <v>479</v>
      </c>
      <c r="B37" t="s">
        <v>30</v>
      </c>
      <c r="C37" t="s">
        <v>480</v>
      </c>
      <c r="D37" t="s">
        <v>481</v>
      </c>
      <c r="E37">
        <v>0.54752066115702402</v>
      </c>
      <c r="F37" t="s">
        <v>482</v>
      </c>
      <c r="G37">
        <v>0.44463087248322097</v>
      </c>
      <c r="H37" t="s">
        <v>483</v>
      </c>
      <c r="I37">
        <v>0.49074074074073998</v>
      </c>
      <c r="K37" s="1"/>
    </row>
    <row r="38" spans="1:11" x14ac:dyDescent="0.25">
      <c r="A38" s="23" t="s">
        <v>479</v>
      </c>
      <c r="B38" t="s">
        <v>30</v>
      </c>
      <c r="C38" t="s">
        <v>480</v>
      </c>
      <c r="D38" t="s">
        <v>484</v>
      </c>
      <c r="E38">
        <v>0.546063651591289</v>
      </c>
      <c r="F38" t="s">
        <v>482</v>
      </c>
      <c r="G38">
        <v>0.51177394034536805</v>
      </c>
      <c r="H38" t="s">
        <v>483</v>
      </c>
      <c r="I38">
        <v>0.52836304700161996</v>
      </c>
      <c r="K38" s="1"/>
    </row>
    <row r="39" spans="1:11" x14ac:dyDescent="0.25">
      <c r="A39" s="23" t="s">
        <v>479</v>
      </c>
      <c r="B39" t="s">
        <v>30</v>
      </c>
      <c r="C39" t="s">
        <v>480</v>
      </c>
      <c r="D39" t="s">
        <v>485</v>
      </c>
      <c r="E39">
        <v>0.57665505226480795</v>
      </c>
      <c r="F39" t="s">
        <v>482</v>
      </c>
      <c r="G39">
        <v>0.503805175038051</v>
      </c>
      <c r="H39" t="s">
        <v>483</v>
      </c>
      <c r="I39">
        <v>0.53777416734362304</v>
      </c>
      <c r="K39" s="1"/>
    </row>
    <row r="40" spans="1:11" x14ac:dyDescent="0.25">
      <c r="A40" s="23" t="s">
        <v>479</v>
      </c>
      <c r="B40" t="s">
        <v>30</v>
      </c>
      <c r="C40" t="s">
        <v>480</v>
      </c>
      <c r="D40" t="s">
        <v>486</v>
      </c>
      <c r="E40">
        <v>0.65581395348837201</v>
      </c>
      <c r="F40" t="s">
        <v>482</v>
      </c>
      <c r="G40">
        <v>0.40988372093023201</v>
      </c>
      <c r="H40" t="s">
        <v>483</v>
      </c>
      <c r="I40">
        <v>0.50447227191413202</v>
      </c>
      <c r="K40" s="1"/>
    </row>
    <row r="41" spans="1:11" x14ac:dyDescent="0.25">
      <c r="A41" s="23" t="s">
        <v>479</v>
      </c>
      <c r="B41" t="s">
        <v>30</v>
      </c>
      <c r="C41" t="s">
        <v>480</v>
      </c>
      <c r="D41" t="s">
        <v>487</v>
      </c>
      <c r="E41">
        <v>0.78136882129277496</v>
      </c>
      <c r="F41" t="s">
        <v>482</v>
      </c>
      <c r="G41">
        <v>0.564560439560439</v>
      </c>
      <c r="H41" t="s">
        <v>483</v>
      </c>
      <c r="I41">
        <v>0.65550239234449703</v>
      </c>
      <c r="K41" s="1"/>
    </row>
    <row r="42" spans="1:11" x14ac:dyDescent="0.25">
      <c r="A42" s="23" t="s">
        <v>479</v>
      </c>
      <c r="B42" t="s">
        <v>30</v>
      </c>
      <c r="C42" t="s">
        <v>480</v>
      </c>
      <c r="D42" t="s">
        <v>488</v>
      </c>
      <c r="E42">
        <v>0.92120075046904304</v>
      </c>
      <c r="F42" t="s">
        <v>482</v>
      </c>
      <c r="G42">
        <v>0.64605263157894699</v>
      </c>
      <c r="H42" t="s">
        <v>483</v>
      </c>
      <c r="I42">
        <v>0.75947409126063403</v>
      </c>
      <c r="K42" s="1"/>
    </row>
    <row r="43" spans="1:11" x14ac:dyDescent="0.25">
      <c r="A43" s="23" t="s">
        <v>101</v>
      </c>
      <c r="K43" s="1"/>
    </row>
    <row r="44" spans="1:11" x14ac:dyDescent="0.25">
      <c r="A44" s="23" t="s">
        <v>479</v>
      </c>
      <c r="B44" t="s">
        <v>31</v>
      </c>
      <c r="C44" t="s">
        <v>480</v>
      </c>
      <c r="D44" t="s">
        <v>481</v>
      </c>
      <c r="E44">
        <v>0.45242369838420099</v>
      </c>
      <c r="F44" t="s">
        <v>482</v>
      </c>
      <c r="G44">
        <v>0.44444444444444398</v>
      </c>
      <c r="H44" t="s">
        <v>483</v>
      </c>
      <c r="I44">
        <v>0.44839857651245502</v>
      </c>
      <c r="K44" s="1"/>
    </row>
    <row r="45" spans="1:11" x14ac:dyDescent="0.25">
      <c r="A45" s="23" t="s">
        <v>479</v>
      </c>
      <c r="B45" t="s">
        <v>31</v>
      </c>
      <c r="C45" t="s">
        <v>480</v>
      </c>
      <c r="D45" t="s">
        <v>484</v>
      </c>
      <c r="E45">
        <v>0.49009900990098998</v>
      </c>
      <c r="F45" t="s">
        <v>482</v>
      </c>
      <c r="G45">
        <v>0.51742160278745597</v>
      </c>
      <c r="H45" t="s">
        <v>483</v>
      </c>
      <c r="I45">
        <v>0.50338983050847397</v>
      </c>
      <c r="K45" s="1"/>
    </row>
    <row r="46" spans="1:11" x14ac:dyDescent="0.25">
      <c r="A46" s="23" t="s">
        <v>479</v>
      </c>
      <c r="B46" t="s">
        <v>31</v>
      </c>
      <c r="C46" t="s">
        <v>480</v>
      </c>
      <c r="D46" t="s">
        <v>485</v>
      </c>
      <c r="E46">
        <v>0.50079744816586902</v>
      </c>
      <c r="F46" t="s">
        <v>482</v>
      </c>
      <c r="G46">
        <v>0.54044750430292599</v>
      </c>
      <c r="H46" t="s">
        <v>483</v>
      </c>
      <c r="I46">
        <v>0.51986754966887405</v>
      </c>
      <c r="K46" s="1"/>
    </row>
    <row r="47" spans="1:11" x14ac:dyDescent="0.25">
      <c r="A47" s="23" t="s">
        <v>479</v>
      </c>
      <c r="B47" t="s">
        <v>31</v>
      </c>
      <c r="C47" t="s">
        <v>480</v>
      </c>
      <c r="D47" t="s">
        <v>486</v>
      </c>
      <c r="E47">
        <v>0.44634525660964203</v>
      </c>
      <c r="F47" t="s">
        <v>482</v>
      </c>
      <c r="G47">
        <v>0.50087260034904002</v>
      </c>
      <c r="H47" t="s">
        <v>483</v>
      </c>
      <c r="I47">
        <v>0.47203947368421001</v>
      </c>
      <c r="K47" s="1"/>
    </row>
    <row r="48" spans="1:11" x14ac:dyDescent="0.25">
      <c r="A48" s="23" t="s">
        <v>479</v>
      </c>
      <c r="B48" t="s">
        <v>31</v>
      </c>
      <c r="C48" t="s">
        <v>480</v>
      </c>
      <c r="D48" t="s">
        <v>487</v>
      </c>
      <c r="E48">
        <v>0.559274755927475</v>
      </c>
      <c r="F48" t="s">
        <v>482</v>
      </c>
      <c r="G48">
        <v>0.69982547993019195</v>
      </c>
      <c r="H48" t="s">
        <v>483</v>
      </c>
      <c r="I48">
        <v>0.62170542635658899</v>
      </c>
      <c r="K48" s="1"/>
    </row>
    <row r="49" spans="1:11" x14ac:dyDescent="0.25">
      <c r="A49" s="23" t="s">
        <v>479</v>
      </c>
      <c r="B49" t="s">
        <v>31</v>
      </c>
      <c r="C49" t="s">
        <v>480</v>
      </c>
      <c r="D49" t="s">
        <v>488</v>
      </c>
      <c r="E49">
        <v>0.37566137566137497</v>
      </c>
      <c r="F49" t="s">
        <v>482</v>
      </c>
      <c r="G49">
        <v>0.70529801324503305</v>
      </c>
      <c r="H49" t="s">
        <v>483</v>
      </c>
      <c r="I49">
        <v>0.49021864211737598</v>
      </c>
      <c r="K49" s="1"/>
    </row>
    <row r="50" spans="1:11" x14ac:dyDescent="0.25">
      <c r="A50" s="23" t="s">
        <v>102</v>
      </c>
      <c r="K50" s="1"/>
    </row>
    <row r="51" spans="1:11" x14ac:dyDescent="0.25">
      <c r="A51" s="23" t="s">
        <v>479</v>
      </c>
      <c r="B51" t="s">
        <v>32</v>
      </c>
      <c r="C51" t="s">
        <v>480</v>
      </c>
      <c r="D51" t="s">
        <v>481</v>
      </c>
      <c r="E51">
        <v>0.50178571428571395</v>
      </c>
      <c r="F51" t="s">
        <v>482</v>
      </c>
      <c r="G51">
        <v>0.496466431095406</v>
      </c>
      <c r="H51" t="s">
        <v>483</v>
      </c>
      <c r="I51">
        <v>0.49911190053285898</v>
      </c>
      <c r="K51" s="1"/>
    </row>
    <row r="52" spans="1:11" x14ac:dyDescent="0.25">
      <c r="A52" s="23" t="s">
        <v>479</v>
      </c>
      <c r="B52" t="s">
        <v>32</v>
      </c>
      <c r="C52" t="s">
        <v>480</v>
      </c>
      <c r="D52" t="s">
        <v>484</v>
      </c>
      <c r="E52">
        <v>0.506493506493506</v>
      </c>
      <c r="F52" t="s">
        <v>482</v>
      </c>
      <c r="G52">
        <v>0.49100719424460398</v>
      </c>
      <c r="H52" t="s">
        <v>483</v>
      </c>
      <c r="I52">
        <v>0.49863013698630099</v>
      </c>
      <c r="K52" s="1"/>
    </row>
    <row r="53" spans="1:11" x14ac:dyDescent="0.25">
      <c r="A53" s="23" t="s">
        <v>479</v>
      </c>
      <c r="B53" t="s">
        <v>32</v>
      </c>
      <c r="C53" t="s">
        <v>480</v>
      </c>
      <c r="D53" t="s">
        <v>485</v>
      </c>
      <c r="E53">
        <v>0.49012567324955097</v>
      </c>
      <c r="F53" t="s">
        <v>482</v>
      </c>
      <c r="G53">
        <v>0.506493506493506</v>
      </c>
      <c r="H53" t="s">
        <v>483</v>
      </c>
      <c r="I53">
        <v>0.49817518248175102</v>
      </c>
      <c r="K53" s="1"/>
    </row>
    <row r="54" spans="1:11" x14ac:dyDescent="0.25">
      <c r="A54" s="23" t="s">
        <v>479</v>
      </c>
      <c r="B54" t="s">
        <v>32</v>
      </c>
      <c r="C54" t="s">
        <v>480</v>
      </c>
      <c r="D54" t="s">
        <v>486</v>
      </c>
      <c r="E54">
        <v>0.51171171171171104</v>
      </c>
      <c r="F54" t="s">
        <v>482</v>
      </c>
      <c r="G54">
        <v>0.53686200378071802</v>
      </c>
      <c r="H54" t="s">
        <v>483</v>
      </c>
      <c r="I54">
        <v>0.52398523985239798</v>
      </c>
      <c r="K54" s="1"/>
    </row>
    <row r="55" spans="1:11" x14ac:dyDescent="0.25">
      <c r="A55" s="23" t="s">
        <v>479</v>
      </c>
      <c r="B55" t="s">
        <v>32</v>
      </c>
      <c r="C55" t="s">
        <v>480</v>
      </c>
      <c r="D55" t="s">
        <v>487</v>
      </c>
      <c r="E55">
        <v>0.566455696202531</v>
      </c>
      <c r="F55" t="s">
        <v>482</v>
      </c>
      <c r="G55">
        <v>0.65930018416206204</v>
      </c>
      <c r="H55" t="s">
        <v>483</v>
      </c>
      <c r="I55">
        <v>0.60936170212765906</v>
      </c>
      <c r="K55" s="1"/>
    </row>
    <row r="56" spans="1:11" x14ac:dyDescent="0.25">
      <c r="A56" s="23" t="s">
        <v>479</v>
      </c>
      <c r="B56" t="s">
        <v>32</v>
      </c>
      <c r="C56" t="s">
        <v>480</v>
      </c>
      <c r="D56" t="s">
        <v>488</v>
      </c>
      <c r="E56">
        <v>0.37528089887640398</v>
      </c>
      <c r="F56" t="s">
        <v>482</v>
      </c>
      <c r="G56">
        <v>0.60071942446043103</v>
      </c>
      <c r="H56" t="s">
        <v>483</v>
      </c>
      <c r="I56">
        <v>0.46196403872752401</v>
      </c>
      <c r="K56" s="1"/>
    </row>
    <row r="57" spans="1:11" x14ac:dyDescent="0.25">
      <c r="A57" s="23" t="s">
        <v>103</v>
      </c>
      <c r="K57" s="1"/>
    </row>
    <row r="58" spans="1:11" x14ac:dyDescent="0.25">
      <c r="A58" s="23" t="s">
        <v>479</v>
      </c>
      <c r="B58" t="s">
        <v>489</v>
      </c>
      <c r="C58" t="s">
        <v>480</v>
      </c>
      <c r="D58" t="s">
        <v>481</v>
      </c>
      <c r="E58">
        <v>0.554991539763113</v>
      </c>
      <c r="F58" t="s">
        <v>482</v>
      </c>
      <c r="G58">
        <v>0.54849498327759105</v>
      </c>
      <c r="H58" t="s">
        <v>483</v>
      </c>
      <c r="I58">
        <v>0.55172413793103403</v>
      </c>
      <c r="K58" s="1"/>
    </row>
    <row r="59" spans="1:11" x14ac:dyDescent="0.25">
      <c r="A59" s="23" t="s">
        <v>479</v>
      </c>
      <c r="B59" t="s">
        <v>489</v>
      </c>
      <c r="C59" t="s">
        <v>480</v>
      </c>
      <c r="D59" t="s">
        <v>484</v>
      </c>
      <c r="E59">
        <v>0.54722638680659597</v>
      </c>
      <c r="F59" t="s">
        <v>482</v>
      </c>
      <c r="G59">
        <v>0.58966074313408701</v>
      </c>
      <c r="H59" t="s">
        <v>483</v>
      </c>
      <c r="I59">
        <v>0.56765163297045096</v>
      </c>
      <c r="K59" s="1"/>
    </row>
    <row r="60" spans="1:11" x14ac:dyDescent="0.25">
      <c r="A60" s="23" t="s">
        <v>479</v>
      </c>
      <c r="B60" t="s">
        <v>489</v>
      </c>
      <c r="C60" t="s">
        <v>480</v>
      </c>
      <c r="D60" t="s">
        <v>485</v>
      </c>
      <c r="E60">
        <v>0.55537720706259996</v>
      </c>
      <c r="F60" t="s">
        <v>482</v>
      </c>
      <c r="G60">
        <v>0.54574132492113503</v>
      </c>
      <c r="H60" t="s">
        <v>483</v>
      </c>
      <c r="I60">
        <v>0.550517104216388</v>
      </c>
      <c r="K60" s="1"/>
    </row>
    <row r="61" spans="1:11" x14ac:dyDescent="0.25">
      <c r="A61" s="23" t="s">
        <v>479</v>
      </c>
      <c r="B61" t="s">
        <v>489</v>
      </c>
      <c r="C61" t="s">
        <v>480</v>
      </c>
      <c r="D61" t="s">
        <v>486</v>
      </c>
      <c r="E61">
        <v>0.62282878411910603</v>
      </c>
      <c r="F61" t="s">
        <v>482</v>
      </c>
      <c r="G61">
        <v>0.38437978560489999</v>
      </c>
      <c r="H61" t="s">
        <v>483</v>
      </c>
      <c r="I61">
        <v>0.47537878787878701</v>
      </c>
      <c r="K61" s="1"/>
    </row>
    <row r="62" spans="1:11" x14ac:dyDescent="0.25">
      <c r="A62" s="23" t="s">
        <v>479</v>
      </c>
      <c r="B62" t="s">
        <v>489</v>
      </c>
      <c r="C62" t="s">
        <v>480</v>
      </c>
      <c r="D62" t="s">
        <v>487</v>
      </c>
      <c r="E62">
        <v>0.65987460815047005</v>
      </c>
      <c r="F62" t="s">
        <v>482</v>
      </c>
      <c r="G62">
        <v>0.630239520958083</v>
      </c>
      <c r="H62" t="s">
        <v>483</v>
      </c>
      <c r="I62">
        <v>0.64471669218989203</v>
      </c>
      <c r="K62" s="1"/>
    </row>
    <row r="63" spans="1:11" x14ac:dyDescent="0.25">
      <c r="A63" s="23" t="s">
        <v>479</v>
      </c>
      <c r="B63" t="s">
        <v>489</v>
      </c>
      <c r="C63" t="s">
        <v>480</v>
      </c>
      <c r="D63" t="s">
        <v>488</v>
      </c>
      <c r="E63">
        <v>0.66045845272206305</v>
      </c>
      <c r="F63" t="s">
        <v>482</v>
      </c>
      <c r="G63">
        <v>0.709230769230769</v>
      </c>
      <c r="H63" t="s">
        <v>483</v>
      </c>
      <c r="I63">
        <v>0.68397626112759602</v>
      </c>
      <c r="K63" s="1"/>
    </row>
    <row r="64" spans="1:11" x14ac:dyDescent="0.25">
      <c r="A64" s="23" t="s">
        <v>104</v>
      </c>
      <c r="K64" s="1"/>
    </row>
    <row r="65" spans="1:11" x14ac:dyDescent="0.25">
      <c r="A65" s="23" t="s">
        <v>479</v>
      </c>
      <c r="B65" t="s">
        <v>34</v>
      </c>
      <c r="C65" t="s">
        <v>480</v>
      </c>
      <c r="D65" t="s">
        <v>481</v>
      </c>
      <c r="E65">
        <v>0.51773049645390001</v>
      </c>
      <c r="F65" t="s">
        <v>482</v>
      </c>
      <c r="G65">
        <v>0.37372013651877101</v>
      </c>
      <c r="H65" t="s">
        <v>483</v>
      </c>
      <c r="I65">
        <v>0.43409316154608502</v>
      </c>
      <c r="K65" s="1"/>
    </row>
    <row r="66" spans="1:11" x14ac:dyDescent="0.25">
      <c r="A66" s="23" t="s">
        <v>479</v>
      </c>
      <c r="B66" t="s">
        <v>34</v>
      </c>
      <c r="C66" t="s">
        <v>480</v>
      </c>
      <c r="D66" t="s">
        <v>484</v>
      </c>
      <c r="E66">
        <v>0.62369337979093997</v>
      </c>
      <c r="F66" t="s">
        <v>482</v>
      </c>
      <c r="G66">
        <v>0.53915662650602403</v>
      </c>
      <c r="H66" t="s">
        <v>483</v>
      </c>
      <c r="I66">
        <v>0.57835218093699503</v>
      </c>
      <c r="K66" s="1"/>
    </row>
    <row r="67" spans="1:11" x14ac:dyDescent="0.25">
      <c r="A67" s="23" t="s">
        <v>479</v>
      </c>
      <c r="B67" t="s">
        <v>34</v>
      </c>
      <c r="C67" t="s">
        <v>480</v>
      </c>
      <c r="D67" t="s">
        <v>485</v>
      </c>
      <c r="E67">
        <v>0.65365853658536499</v>
      </c>
      <c r="F67" t="s">
        <v>482</v>
      </c>
      <c r="G67">
        <v>0.58176555716353096</v>
      </c>
      <c r="H67" t="s">
        <v>483</v>
      </c>
      <c r="I67">
        <v>0.61562021439509895</v>
      </c>
      <c r="K67" s="1"/>
    </row>
    <row r="68" spans="1:11" x14ac:dyDescent="0.25">
      <c r="A68" s="23" t="s">
        <v>479</v>
      </c>
      <c r="B68" t="s">
        <v>34</v>
      </c>
      <c r="C68" t="s">
        <v>480</v>
      </c>
      <c r="D68" t="s">
        <v>486</v>
      </c>
      <c r="E68">
        <v>0.69835466179159</v>
      </c>
      <c r="F68" t="s">
        <v>482</v>
      </c>
      <c r="G68">
        <v>0.50663129973474796</v>
      </c>
      <c r="H68" t="s">
        <v>483</v>
      </c>
      <c r="I68">
        <v>0.58724058416602598</v>
      </c>
      <c r="K68" s="1"/>
    </row>
    <row r="69" spans="1:11" x14ac:dyDescent="0.25">
      <c r="A69" s="23" t="s">
        <v>479</v>
      </c>
      <c r="B69" t="s">
        <v>34</v>
      </c>
      <c r="C69" t="s">
        <v>480</v>
      </c>
      <c r="D69" t="s">
        <v>487</v>
      </c>
      <c r="E69">
        <v>0.81411359724612697</v>
      </c>
      <c r="F69" t="s">
        <v>482</v>
      </c>
      <c r="G69">
        <v>0.55712603062426302</v>
      </c>
      <c r="H69" t="s">
        <v>483</v>
      </c>
      <c r="I69">
        <v>0.66153846153846096</v>
      </c>
      <c r="K69" s="1"/>
    </row>
    <row r="70" spans="1:11" x14ac:dyDescent="0.25">
      <c r="A70" s="23" t="s">
        <v>479</v>
      </c>
      <c r="B70" t="s">
        <v>34</v>
      </c>
      <c r="C70" t="s">
        <v>480</v>
      </c>
      <c r="D70" t="s">
        <v>488</v>
      </c>
      <c r="E70">
        <v>0.96399535423925597</v>
      </c>
      <c r="F70" t="s">
        <v>482</v>
      </c>
      <c r="G70">
        <v>0.97877358490566002</v>
      </c>
      <c r="H70" t="s">
        <v>483</v>
      </c>
      <c r="I70">
        <v>0.97132826214160295</v>
      </c>
      <c r="K70" s="1"/>
    </row>
    <row r="71" spans="1:11" x14ac:dyDescent="0.25">
      <c r="A71" s="23" t="s">
        <v>105</v>
      </c>
      <c r="K71" s="1"/>
    </row>
    <row r="72" spans="1:11" x14ac:dyDescent="0.25">
      <c r="A72" s="23" t="s">
        <v>479</v>
      </c>
      <c r="B72" t="s">
        <v>35</v>
      </c>
      <c r="C72" t="s">
        <v>480</v>
      </c>
      <c r="D72" t="s">
        <v>481</v>
      </c>
      <c r="E72">
        <v>0.51150442477876101</v>
      </c>
      <c r="F72" t="s">
        <v>482</v>
      </c>
      <c r="G72">
        <v>0.51150442477876101</v>
      </c>
      <c r="H72" t="s">
        <v>483</v>
      </c>
      <c r="I72">
        <v>0.51150442477876101</v>
      </c>
      <c r="K72" s="1"/>
    </row>
    <row r="73" spans="1:11" x14ac:dyDescent="0.25">
      <c r="A73" s="23" t="s">
        <v>479</v>
      </c>
      <c r="B73" t="s">
        <v>35</v>
      </c>
      <c r="C73" t="s">
        <v>480</v>
      </c>
      <c r="D73" t="s">
        <v>484</v>
      </c>
      <c r="E73">
        <v>0.51299589603283102</v>
      </c>
      <c r="F73" t="s">
        <v>482</v>
      </c>
      <c r="G73">
        <v>0.62814070351758799</v>
      </c>
      <c r="H73" t="s">
        <v>483</v>
      </c>
      <c r="I73">
        <v>0.56475903614457801</v>
      </c>
      <c r="K73" s="1"/>
    </row>
    <row r="74" spans="1:11" x14ac:dyDescent="0.25">
      <c r="A74" s="23" t="s">
        <v>479</v>
      </c>
      <c r="B74" t="s">
        <v>35</v>
      </c>
      <c r="C74" t="s">
        <v>480</v>
      </c>
      <c r="D74" t="s">
        <v>485</v>
      </c>
      <c r="E74">
        <v>0.503571428571428</v>
      </c>
      <c r="F74" t="s">
        <v>482</v>
      </c>
      <c r="G74">
        <v>0.483704974271012</v>
      </c>
      <c r="H74" t="s">
        <v>483</v>
      </c>
      <c r="I74">
        <v>0.49343832020997302</v>
      </c>
      <c r="K74" s="1"/>
    </row>
    <row r="75" spans="1:11" x14ac:dyDescent="0.25">
      <c r="A75" s="23" t="s">
        <v>479</v>
      </c>
      <c r="B75" t="s">
        <v>35</v>
      </c>
      <c r="C75" t="s">
        <v>480</v>
      </c>
      <c r="D75" t="s">
        <v>486</v>
      </c>
      <c r="E75">
        <v>0.53875968992248002</v>
      </c>
      <c r="F75" t="s">
        <v>482</v>
      </c>
      <c r="G75">
        <v>0.49290780141843898</v>
      </c>
      <c r="H75" t="s">
        <v>483</v>
      </c>
      <c r="I75">
        <v>0.51481481481481395</v>
      </c>
      <c r="K75" s="1"/>
    </row>
    <row r="76" spans="1:11" x14ac:dyDescent="0.25">
      <c r="A76" s="23" t="s">
        <v>479</v>
      </c>
      <c r="B76" t="s">
        <v>35</v>
      </c>
      <c r="C76" t="s">
        <v>480</v>
      </c>
      <c r="D76" t="s">
        <v>487</v>
      </c>
      <c r="E76">
        <v>0.46140035906642701</v>
      </c>
      <c r="F76" t="s">
        <v>482</v>
      </c>
      <c r="G76">
        <v>0.47416974169741699</v>
      </c>
      <c r="H76" t="s">
        <v>483</v>
      </c>
      <c r="I76">
        <v>0.46769790718835302</v>
      </c>
      <c r="K76" s="1"/>
    </row>
    <row r="77" spans="1:11" x14ac:dyDescent="0.25">
      <c r="A77" s="23" t="s">
        <v>479</v>
      </c>
      <c r="B77" t="s">
        <v>35</v>
      </c>
      <c r="C77" t="s">
        <v>480</v>
      </c>
      <c r="D77" t="s">
        <v>488</v>
      </c>
      <c r="E77">
        <v>0.53460972017673003</v>
      </c>
      <c r="F77" t="s">
        <v>482</v>
      </c>
      <c r="G77">
        <v>0.70212765957446799</v>
      </c>
      <c r="H77" t="s">
        <v>483</v>
      </c>
      <c r="I77">
        <v>0.60702341137123705</v>
      </c>
      <c r="K77" s="1"/>
    </row>
    <row r="78" spans="1:11" x14ac:dyDescent="0.25">
      <c r="A78" s="23" t="s">
        <v>106</v>
      </c>
      <c r="K78" s="1"/>
    </row>
    <row r="79" spans="1:11" x14ac:dyDescent="0.25">
      <c r="A79" s="23" t="s">
        <v>479</v>
      </c>
      <c r="B79" t="s">
        <v>36</v>
      </c>
      <c r="C79" t="s">
        <v>480</v>
      </c>
      <c r="D79" t="s">
        <v>481</v>
      </c>
      <c r="E79">
        <v>0.50670640834575198</v>
      </c>
      <c r="F79" t="s">
        <v>482</v>
      </c>
      <c r="G79">
        <v>0.59859154929577396</v>
      </c>
      <c r="H79" t="s">
        <v>483</v>
      </c>
      <c r="I79">
        <v>0.54882970137207399</v>
      </c>
      <c r="K79" s="1"/>
    </row>
    <row r="80" spans="1:11" x14ac:dyDescent="0.25">
      <c r="A80" s="23" t="s">
        <v>479</v>
      </c>
      <c r="B80" t="s">
        <v>36</v>
      </c>
      <c r="C80" t="s">
        <v>480</v>
      </c>
      <c r="D80" t="s">
        <v>484</v>
      </c>
      <c r="E80">
        <v>0.54796511627906896</v>
      </c>
      <c r="F80" t="s">
        <v>482</v>
      </c>
      <c r="G80">
        <v>0.61500815660685104</v>
      </c>
      <c r="H80" t="s">
        <v>483</v>
      </c>
      <c r="I80">
        <v>0.57955418908531897</v>
      </c>
      <c r="K80" s="1"/>
    </row>
    <row r="81" spans="1:11" x14ac:dyDescent="0.25">
      <c r="A81" s="23" t="s">
        <v>479</v>
      </c>
      <c r="B81" t="s">
        <v>36</v>
      </c>
      <c r="C81" t="s">
        <v>480</v>
      </c>
      <c r="D81" t="s">
        <v>485</v>
      </c>
      <c r="E81">
        <v>0.50974025974025905</v>
      </c>
      <c r="F81" t="s">
        <v>482</v>
      </c>
      <c r="G81">
        <v>0.51986754966887405</v>
      </c>
      <c r="H81" t="s">
        <v>483</v>
      </c>
      <c r="I81">
        <v>0.514754098360655</v>
      </c>
      <c r="K81" s="1"/>
    </row>
    <row r="82" spans="1:11" x14ac:dyDescent="0.25">
      <c r="A82" s="23" t="s">
        <v>479</v>
      </c>
      <c r="B82" t="s">
        <v>36</v>
      </c>
      <c r="C82" t="s">
        <v>480</v>
      </c>
      <c r="D82" t="s">
        <v>486</v>
      </c>
      <c r="E82">
        <v>0.55907429963459199</v>
      </c>
      <c r="F82" t="s">
        <v>482</v>
      </c>
      <c r="G82">
        <v>0.748776508972267</v>
      </c>
      <c r="H82" t="s">
        <v>483</v>
      </c>
      <c r="I82">
        <v>0.64016736401673602</v>
      </c>
      <c r="K82" s="1"/>
    </row>
    <row r="83" spans="1:11" x14ac:dyDescent="0.25">
      <c r="A83" s="23" t="s">
        <v>479</v>
      </c>
      <c r="B83" t="s">
        <v>36</v>
      </c>
      <c r="C83" t="s">
        <v>480</v>
      </c>
      <c r="D83" t="s">
        <v>487</v>
      </c>
      <c r="E83">
        <v>0.43951612903225801</v>
      </c>
      <c r="F83" t="s">
        <v>482</v>
      </c>
      <c r="G83">
        <v>0.44763860369609798</v>
      </c>
      <c r="H83" t="s">
        <v>483</v>
      </c>
      <c r="I83">
        <v>0.44354018311291898</v>
      </c>
      <c r="K83" s="1"/>
    </row>
    <row r="84" spans="1:11" x14ac:dyDescent="0.25">
      <c r="A84" s="23" t="s">
        <v>479</v>
      </c>
      <c r="B84" t="s">
        <v>36</v>
      </c>
      <c r="C84" t="s">
        <v>480</v>
      </c>
      <c r="D84" t="s">
        <v>488</v>
      </c>
      <c r="E84">
        <v>0.42971887550200799</v>
      </c>
      <c r="F84" t="s">
        <v>482</v>
      </c>
      <c r="G84">
        <v>0.946902654867256</v>
      </c>
      <c r="H84" t="s">
        <v>483</v>
      </c>
      <c r="I84">
        <v>0.59116022099447496</v>
      </c>
      <c r="K84" s="1"/>
    </row>
    <row r="85" spans="1:11" x14ac:dyDescent="0.25">
      <c r="A85" s="23" t="s">
        <v>107</v>
      </c>
      <c r="K85" s="1"/>
    </row>
    <row r="86" spans="1:11" x14ac:dyDescent="0.25">
      <c r="A86" s="23" t="s">
        <v>479</v>
      </c>
      <c r="B86" t="s">
        <v>490</v>
      </c>
      <c r="C86" t="s">
        <v>480</v>
      </c>
      <c r="D86" t="s">
        <v>491</v>
      </c>
      <c r="E86">
        <v>0.51040812981478401</v>
      </c>
      <c r="F86" t="s">
        <v>482</v>
      </c>
      <c r="G86">
        <v>0.48847058823529399</v>
      </c>
      <c r="H86" t="s">
        <v>483</v>
      </c>
      <c r="I86">
        <v>0.49919846104520599</v>
      </c>
      <c r="K86" s="1"/>
    </row>
    <row r="87" spans="1:11" x14ac:dyDescent="0.25">
      <c r="A87" s="23" t="s">
        <v>479</v>
      </c>
      <c r="B87" t="s">
        <v>490</v>
      </c>
      <c r="C87" t="s">
        <v>480</v>
      </c>
      <c r="D87" t="s">
        <v>492</v>
      </c>
      <c r="E87">
        <v>0.53727038105359004</v>
      </c>
      <c r="F87" t="s">
        <v>482</v>
      </c>
      <c r="G87">
        <v>0.52562008020199003</v>
      </c>
      <c r="H87" t="s">
        <v>483</v>
      </c>
      <c r="I87">
        <v>0.53138138138138102</v>
      </c>
    </row>
    <row r="88" spans="1:11" x14ac:dyDescent="0.25">
      <c r="A88" s="23" t="s">
        <v>479</v>
      </c>
      <c r="B88" t="s">
        <v>490</v>
      </c>
      <c r="C88" t="s">
        <v>480</v>
      </c>
      <c r="D88" t="s">
        <v>493</v>
      </c>
      <c r="E88">
        <v>0.54012878906863504</v>
      </c>
      <c r="F88" t="s">
        <v>482</v>
      </c>
      <c r="G88">
        <v>0.50797636632200804</v>
      </c>
      <c r="H88" t="s">
        <v>483</v>
      </c>
      <c r="I88">
        <v>0.52355941234680603</v>
      </c>
    </row>
    <row r="89" spans="1:11" x14ac:dyDescent="0.25">
      <c r="A89" s="23" t="s">
        <v>479</v>
      </c>
      <c r="B89" t="s">
        <v>490</v>
      </c>
      <c r="C89" t="s">
        <v>480</v>
      </c>
      <c r="D89" t="s">
        <v>494</v>
      </c>
      <c r="E89">
        <v>0.56404269513008598</v>
      </c>
      <c r="F89" t="s">
        <v>482</v>
      </c>
      <c r="G89">
        <v>0.48584973423358702</v>
      </c>
      <c r="H89" t="s">
        <v>483</v>
      </c>
      <c r="I89">
        <v>0.52203442154819701</v>
      </c>
    </row>
    <row r="90" spans="1:11" x14ac:dyDescent="0.25">
      <c r="A90" s="23" t="s">
        <v>479</v>
      </c>
      <c r="B90" t="s">
        <v>490</v>
      </c>
      <c r="C90" t="s">
        <v>480</v>
      </c>
      <c r="D90" t="s">
        <v>495</v>
      </c>
      <c r="E90">
        <v>0.62342588378091301</v>
      </c>
      <c r="F90" t="s">
        <v>482</v>
      </c>
      <c r="G90">
        <v>0.57979398899393197</v>
      </c>
      <c r="H90" t="s">
        <v>483</v>
      </c>
      <c r="I90">
        <v>0.60081883316274298</v>
      </c>
    </row>
    <row r="91" spans="1:11" x14ac:dyDescent="0.25">
      <c r="A91" s="23" t="s">
        <v>479</v>
      </c>
      <c r="B91" t="s">
        <v>490</v>
      </c>
      <c r="C91" t="s">
        <v>480</v>
      </c>
      <c r="D91" t="s">
        <v>496</v>
      </c>
      <c r="E91">
        <v>0.68406513521372403</v>
      </c>
      <c r="F91" t="s">
        <v>482</v>
      </c>
      <c r="G91">
        <v>0.75027906235050201</v>
      </c>
      <c r="H91" t="s">
        <v>483</v>
      </c>
      <c r="I91">
        <v>0.71564377519202904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496E3-95CA-45A6-A283-A10927EBC7A0}">
  <sheetPr codeName="Sheet11">
    <tabColor theme="7" tint="0.59999389629810485"/>
  </sheetPr>
  <dimension ref="A1:A91"/>
  <sheetViews>
    <sheetView zoomScaleNormal="100" workbookViewId="0"/>
  </sheetViews>
  <sheetFormatPr defaultRowHeight="15" x14ac:dyDescent="0.25"/>
  <sheetData>
    <row r="1" spans="1:1" x14ac:dyDescent="0.25">
      <c r="A1" s="2" t="s">
        <v>90</v>
      </c>
    </row>
    <row r="3" spans="1:1" x14ac:dyDescent="0.25">
      <c r="A3" s="23" t="s">
        <v>254</v>
      </c>
    </row>
    <row r="4" spans="1:1" x14ac:dyDescent="0.25">
      <c r="A4" s="23" t="s">
        <v>255</v>
      </c>
    </row>
    <row r="5" spans="1:1" x14ac:dyDescent="0.25">
      <c r="A5" s="23" t="s">
        <v>328</v>
      </c>
    </row>
    <row r="6" spans="1:1" x14ac:dyDescent="0.25">
      <c r="A6" s="23" t="s">
        <v>94</v>
      </c>
    </row>
    <row r="7" spans="1:1" x14ac:dyDescent="0.25">
      <c r="A7" s="23" t="s">
        <v>95</v>
      </c>
    </row>
    <row r="8" spans="1:1" x14ac:dyDescent="0.25">
      <c r="A8" s="23" t="s">
        <v>96</v>
      </c>
    </row>
    <row r="9" spans="1:1" x14ac:dyDescent="0.25">
      <c r="A9" s="23" t="s">
        <v>329</v>
      </c>
    </row>
    <row r="10" spans="1:1" x14ac:dyDescent="0.25">
      <c r="A10" s="23" t="s">
        <v>330</v>
      </c>
    </row>
    <row r="11" spans="1:1" x14ac:dyDescent="0.25">
      <c r="A11" s="23" t="s">
        <v>331</v>
      </c>
    </row>
    <row r="12" spans="1:1" x14ac:dyDescent="0.25">
      <c r="A12" s="23" t="s">
        <v>332</v>
      </c>
    </row>
    <row r="13" spans="1:1" x14ac:dyDescent="0.25">
      <c r="A13" s="23" t="s">
        <v>333</v>
      </c>
    </row>
    <row r="14" spans="1:1" x14ac:dyDescent="0.25">
      <c r="A14" s="23" t="s">
        <v>334</v>
      </c>
    </row>
    <row r="15" spans="1:1" x14ac:dyDescent="0.25">
      <c r="A15" s="23" t="s">
        <v>97</v>
      </c>
    </row>
    <row r="16" spans="1:1" x14ac:dyDescent="0.25">
      <c r="A16" s="23" t="s">
        <v>335</v>
      </c>
    </row>
    <row r="17" spans="1:1" x14ac:dyDescent="0.25">
      <c r="A17" s="23" t="s">
        <v>336</v>
      </c>
    </row>
    <row r="18" spans="1:1" x14ac:dyDescent="0.25">
      <c r="A18" s="23" t="s">
        <v>337</v>
      </c>
    </row>
    <row r="19" spans="1:1" x14ac:dyDescent="0.25">
      <c r="A19" s="23" t="s">
        <v>338</v>
      </c>
    </row>
    <row r="20" spans="1:1" x14ac:dyDescent="0.25">
      <c r="A20" s="23" t="s">
        <v>339</v>
      </c>
    </row>
    <row r="21" spans="1:1" x14ac:dyDescent="0.25">
      <c r="A21" s="23" t="s">
        <v>340</v>
      </c>
    </row>
    <row r="22" spans="1:1" x14ac:dyDescent="0.25">
      <c r="A22" s="23" t="s">
        <v>98</v>
      </c>
    </row>
    <row r="23" spans="1:1" x14ac:dyDescent="0.25">
      <c r="A23" s="23" t="s">
        <v>341</v>
      </c>
    </row>
    <row r="24" spans="1:1" x14ac:dyDescent="0.25">
      <c r="A24" s="23" t="s">
        <v>342</v>
      </c>
    </row>
    <row r="25" spans="1:1" x14ac:dyDescent="0.25">
      <c r="A25" s="23" t="s">
        <v>343</v>
      </c>
    </row>
    <row r="26" spans="1:1" x14ac:dyDescent="0.25">
      <c r="A26" s="23" t="s">
        <v>344</v>
      </c>
    </row>
    <row r="27" spans="1:1" x14ac:dyDescent="0.25">
      <c r="A27" s="23" t="s">
        <v>345</v>
      </c>
    </row>
    <row r="28" spans="1:1" x14ac:dyDescent="0.25">
      <c r="A28" s="23" t="s">
        <v>346</v>
      </c>
    </row>
    <row r="29" spans="1:1" x14ac:dyDescent="0.25">
      <c r="A29" s="23" t="s">
        <v>99</v>
      </c>
    </row>
    <row r="30" spans="1:1" x14ac:dyDescent="0.25">
      <c r="A30" s="23" t="s">
        <v>347</v>
      </c>
    </row>
    <row r="31" spans="1:1" x14ac:dyDescent="0.25">
      <c r="A31" s="23" t="s">
        <v>348</v>
      </c>
    </row>
    <row r="32" spans="1:1" x14ac:dyDescent="0.25">
      <c r="A32" s="23" t="s">
        <v>349</v>
      </c>
    </row>
    <row r="33" spans="1:1" x14ac:dyDescent="0.25">
      <c r="A33" s="23" t="s">
        <v>350</v>
      </c>
    </row>
    <row r="34" spans="1:1" x14ac:dyDescent="0.25">
      <c r="A34" s="23" t="s">
        <v>351</v>
      </c>
    </row>
    <row r="35" spans="1:1" x14ac:dyDescent="0.25">
      <c r="A35" s="23" t="s">
        <v>352</v>
      </c>
    </row>
    <row r="36" spans="1:1" x14ac:dyDescent="0.25">
      <c r="A36" s="23" t="s">
        <v>100</v>
      </c>
    </row>
    <row r="37" spans="1:1" x14ac:dyDescent="0.25">
      <c r="A37" s="23" t="s">
        <v>353</v>
      </c>
    </row>
    <row r="38" spans="1:1" x14ac:dyDescent="0.25">
      <c r="A38" s="23" t="s">
        <v>354</v>
      </c>
    </row>
    <row r="39" spans="1:1" x14ac:dyDescent="0.25">
      <c r="A39" s="23" t="s">
        <v>355</v>
      </c>
    </row>
    <row r="40" spans="1:1" x14ac:dyDescent="0.25">
      <c r="A40" s="23" t="s">
        <v>356</v>
      </c>
    </row>
    <row r="41" spans="1:1" x14ac:dyDescent="0.25">
      <c r="A41" s="23" t="s">
        <v>357</v>
      </c>
    </row>
    <row r="42" spans="1:1" x14ac:dyDescent="0.25">
      <c r="A42" s="23" t="s">
        <v>358</v>
      </c>
    </row>
    <row r="43" spans="1:1" x14ac:dyDescent="0.25">
      <c r="A43" s="23" t="s">
        <v>101</v>
      </c>
    </row>
    <row r="44" spans="1:1" x14ac:dyDescent="0.25">
      <c r="A44" s="23" t="s">
        <v>359</v>
      </c>
    </row>
    <row r="45" spans="1:1" x14ac:dyDescent="0.25">
      <c r="A45" s="23" t="s">
        <v>360</v>
      </c>
    </row>
    <row r="46" spans="1:1" x14ac:dyDescent="0.25">
      <c r="A46" s="23" t="s">
        <v>361</v>
      </c>
    </row>
    <row r="47" spans="1:1" x14ac:dyDescent="0.25">
      <c r="A47" s="23" t="s">
        <v>362</v>
      </c>
    </row>
    <row r="48" spans="1:1" x14ac:dyDescent="0.25">
      <c r="A48" s="23" t="s">
        <v>363</v>
      </c>
    </row>
    <row r="49" spans="1:1" x14ac:dyDescent="0.25">
      <c r="A49" s="23" t="s">
        <v>364</v>
      </c>
    </row>
    <row r="50" spans="1:1" x14ac:dyDescent="0.25">
      <c r="A50" s="23" t="s">
        <v>102</v>
      </c>
    </row>
    <row r="51" spans="1:1" x14ac:dyDescent="0.25">
      <c r="A51" s="23" t="s">
        <v>365</v>
      </c>
    </row>
    <row r="52" spans="1:1" x14ac:dyDescent="0.25">
      <c r="A52" s="23" t="s">
        <v>366</v>
      </c>
    </row>
    <row r="53" spans="1:1" x14ac:dyDescent="0.25">
      <c r="A53" s="23" t="s">
        <v>367</v>
      </c>
    </row>
    <row r="54" spans="1:1" x14ac:dyDescent="0.25">
      <c r="A54" s="23" t="s">
        <v>368</v>
      </c>
    </row>
    <row r="55" spans="1:1" x14ac:dyDescent="0.25">
      <c r="A55" s="23" t="s">
        <v>369</v>
      </c>
    </row>
    <row r="56" spans="1:1" x14ac:dyDescent="0.25">
      <c r="A56" s="23" t="s">
        <v>370</v>
      </c>
    </row>
    <row r="57" spans="1:1" x14ac:dyDescent="0.25">
      <c r="A57" s="23" t="s">
        <v>103</v>
      </c>
    </row>
    <row r="58" spans="1:1" x14ac:dyDescent="0.25">
      <c r="A58" s="23" t="s">
        <v>371</v>
      </c>
    </row>
    <row r="59" spans="1:1" x14ac:dyDescent="0.25">
      <c r="A59" s="23" t="s">
        <v>372</v>
      </c>
    </row>
    <row r="60" spans="1:1" x14ac:dyDescent="0.25">
      <c r="A60" s="23" t="s">
        <v>373</v>
      </c>
    </row>
    <row r="61" spans="1:1" x14ac:dyDescent="0.25">
      <c r="A61" s="23" t="s">
        <v>374</v>
      </c>
    </row>
    <row r="62" spans="1:1" x14ac:dyDescent="0.25">
      <c r="A62" s="23" t="s">
        <v>375</v>
      </c>
    </row>
    <row r="63" spans="1:1" x14ac:dyDescent="0.25">
      <c r="A63" s="23" t="s">
        <v>376</v>
      </c>
    </row>
    <row r="64" spans="1:1" x14ac:dyDescent="0.25">
      <c r="A64" s="23" t="s">
        <v>104</v>
      </c>
    </row>
    <row r="65" spans="1:1" x14ac:dyDescent="0.25">
      <c r="A65" s="23" t="s">
        <v>377</v>
      </c>
    </row>
    <row r="66" spans="1:1" x14ac:dyDescent="0.25">
      <c r="A66" s="23" t="s">
        <v>378</v>
      </c>
    </row>
    <row r="67" spans="1:1" x14ac:dyDescent="0.25">
      <c r="A67" s="23" t="s">
        <v>379</v>
      </c>
    </row>
    <row r="68" spans="1:1" x14ac:dyDescent="0.25">
      <c r="A68" s="23" t="s">
        <v>380</v>
      </c>
    </row>
    <row r="69" spans="1:1" x14ac:dyDescent="0.25">
      <c r="A69" s="23" t="s">
        <v>381</v>
      </c>
    </row>
    <row r="70" spans="1:1" x14ac:dyDescent="0.25">
      <c r="A70" s="23" t="s">
        <v>382</v>
      </c>
    </row>
    <row r="71" spans="1:1" x14ac:dyDescent="0.25">
      <c r="A71" s="23" t="s">
        <v>105</v>
      </c>
    </row>
    <row r="72" spans="1:1" x14ac:dyDescent="0.25">
      <c r="A72" s="23" t="s">
        <v>383</v>
      </c>
    </row>
    <row r="73" spans="1:1" x14ac:dyDescent="0.25">
      <c r="A73" s="23" t="s">
        <v>384</v>
      </c>
    </row>
    <row r="74" spans="1:1" x14ac:dyDescent="0.25">
      <c r="A74" s="23" t="s">
        <v>385</v>
      </c>
    </row>
    <row r="75" spans="1:1" x14ac:dyDescent="0.25">
      <c r="A75" s="23" t="s">
        <v>386</v>
      </c>
    </row>
    <row r="76" spans="1:1" x14ac:dyDescent="0.25">
      <c r="A76" s="23" t="s">
        <v>387</v>
      </c>
    </row>
    <row r="77" spans="1:1" x14ac:dyDescent="0.25">
      <c r="A77" s="23" t="s">
        <v>388</v>
      </c>
    </row>
    <row r="78" spans="1:1" x14ac:dyDescent="0.25">
      <c r="A78" s="23" t="s">
        <v>106</v>
      </c>
    </row>
    <row r="79" spans="1:1" x14ac:dyDescent="0.25">
      <c r="A79" s="23" t="s">
        <v>389</v>
      </c>
    </row>
    <row r="80" spans="1:1" x14ac:dyDescent="0.25">
      <c r="A80" s="23" t="s">
        <v>390</v>
      </c>
    </row>
    <row r="81" spans="1:1" x14ac:dyDescent="0.25">
      <c r="A81" s="23" t="s">
        <v>391</v>
      </c>
    </row>
    <row r="82" spans="1:1" x14ac:dyDescent="0.25">
      <c r="A82" s="23" t="s">
        <v>392</v>
      </c>
    </row>
    <row r="83" spans="1:1" x14ac:dyDescent="0.25">
      <c r="A83" s="23" t="s">
        <v>393</v>
      </c>
    </row>
    <row r="84" spans="1:1" x14ac:dyDescent="0.25">
      <c r="A84" s="23" t="s">
        <v>394</v>
      </c>
    </row>
    <row r="85" spans="1:1" x14ac:dyDescent="0.25">
      <c r="A85" s="23" t="s">
        <v>107</v>
      </c>
    </row>
    <row r="86" spans="1:1" x14ac:dyDescent="0.25">
      <c r="A86" s="23" t="s">
        <v>395</v>
      </c>
    </row>
    <row r="87" spans="1:1" x14ac:dyDescent="0.25">
      <c r="A87" s="23" t="s">
        <v>396</v>
      </c>
    </row>
    <row r="88" spans="1:1" x14ac:dyDescent="0.25">
      <c r="A88" s="23" t="s">
        <v>397</v>
      </c>
    </row>
    <row r="89" spans="1:1" x14ac:dyDescent="0.25">
      <c r="A89" s="23" t="s">
        <v>398</v>
      </c>
    </row>
    <row r="90" spans="1:1" x14ac:dyDescent="0.25">
      <c r="A90" s="23" t="s">
        <v>399</v>
      </c>
    </row>
    <row r="91" spans="1:1" x14ac:dyDescent="0.25">
      <c r="A91" s="23" t="s">
        <v>400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3E-D5F6-417B-AB29-E5B9D789172E}">
  <sheetPr codeName="Sheet12"/>
  <dimension ref="A1:I91"/>
  <sheetViews>
    <sheetView zoomScaleNormal="100" workbookViewId="0"/>
  </sheetViews>
  <sheetFormatPr defaultRowHeight="15" x14ac:dyDescent="0.25"/>
  <sheetData>
    <row r="1" spans="1:9" x14ac:dyDescent="0.25">
      <c r="A1" s="2" t="s">
        <v>90</v>
      </c>
    </row>
    <row r="3" spans="1:9" x14ac:dyDescent="0.25">
      <c r="A3" s="23" t="s">
        <v>254</v>
      </c>
    </row>
    <row r="4" spans="1:9" x14ac:dyDescent="0.25">
      <c r="A4" s="23" t="s">
        <v>255</v>
      </c>
    </row>
    <row r="5" spans="1:9" x14ac:dyDescent="0.25">
      <c r="A5" s="23" t="s">
        <v>328</v>
      </c>
    </row>
    <row r="6" spans="1:9" x14ac:dyDescent="0.25">
      <c r="A6" s="23" t="s">
        <v>94</v>
      </c>
    </row>
    <row r="7" spans="1:9" x14ac:dyDescent="0.25">
      <c r="A7" s="23" t="s">
        <v>95</v>
      </c>
    </row>
    <row r="8" spans="1:9" x14ac:dyDescent="0.25">
      <c r="A8" s="23" t="s">
        <v>96</v>
      </c>
    </row>
    <row r="9" spans="1:9" x14ac:dyDescent="0.25">
      <c r="A9" s="23" t="s">
        <v>479</v>
      </c>
      <c r="B9" t="s">
        <v>15</v>
      </c>
      <c r="C9" t="s">
        <v>480</v>
      </c>
      <c r="D9" t="s">
        <v>481</v>
      </c>
      <c r="E9">
        <v>0.53221957040572698</v>
      </c>
      <c r="F9" t="s">
        <v>482</v>
      </c>
      <c r="G9">
        <v>0.37989778534923302</v>
      </c>
      <c r="H9" t="s">
        <v>483</v>
      </c>
      <c r="I9">
        <v>0.44333996023856798</v>
      </c>
    </row>
    <row r="10" spans="1:9" x14ac:dyDescent="0.25">
      <c r="A10" s="23" t="s">
        <v>479</v>
      </c>
      <c r="B10" t="s">
        <v>15</v>
      </c>
      <c r="C10" t="s">
        <v>480</v>
      </c>
      <c r="D10" t="s">
        <v>484</v>
      </c>
      <c r="E10">
        <v>0.52771618625277095</v>
      </c>
      <c r="F10" t="s">
        <v>482</v>
      </c>
      <c r="G10">
        <v>0.37480314960629901</v>
      </c>
      <c r="H10" t="s">
        <v>483</v>
      </c>
      <c r="I10">
        <v>0.438305709023941</v>
      </c>
    </row>
    <row r="11" spans="1:9" x14ac:dyDescent="0.25">
      <c r="A11" s="23" t="s">
        <v>479</v>
      </c>
      <c r="B11" t="s">
        <v>15</v>
      </c>
      <c r="C11" t="s">
        <v>480</v>
      </c>
      <c r="D11" t="s">
        <v>485</v>
      </c>
      <c r="E11">
        <v>0.565862708719851</v>
      </c>
      <c r="F11" t="s">
        <v>482</v>
      </c>
      <c r="G11">
        <v>0.465648854961832</v>
      </c>
      <c r="H11" t="s">
        <v>483</v>
      </c>
      <c r="I11">
        <v>0.51088777219430404</v>
      </c>
    </row>
    <row r="12" spans="1:9" x14ac:dyDescent="0.25">
      <c r="A12" s="23" t="s">
        <v>479</v>
      </c>
      <c r="B12" t="s">
        <v>15</v>
      </c>
      <c r="C12" t="s">
        <v>480</v>
      </c>
      <c r="D12" t="s">
        <v>486</v>
      </c>
      <c r="E12">
        <v>0.55877616747181902</v>
      </c>
      <c r="F12" t="s">
        <v>482</v>
      </c>
      <c r="G12">
        <v>0.49928057553956801</v>
      </c>
      <c r="H12" t="s">
        <v>483</v>
      </c>
      <c r="I12">
        <v>0.52735562310030304</v>
      </c>
    </row>
    <row r="13" spans="1:9" x14ac:dyDescent="0.25">
      <c r="A13" s="23" t="s">
        <v>479</v>
      </c>
      <c r="B13" t="s">
        <v>15</v>
      </c>
      <c r="C13" t="s">
        <v>480</v>
      </c>
      <c r="D13" t="s">
        <v>487</v>
      </c>
      <c r="E13">
        <v>0.685430463576158</v>
      </c>
      <c r="F13" t="s">
        <v>482</v>
      </c>
      <c r="G13">
        <v>0.518147684605757</v>
      </c>
      <c r="H13" t="s">
        <v>483</v>
      </c>
      <c r="I13">
        <v>0.59016393442622905</v>
      </c>
    </row>
    <row r="14" spans="1:9" x14ac:dyDescent="0.25">
      <c r="A14" s="23" t="s">
        <v>479</v>
      </c>
      <c r="B14" t="s">
        <v>15</v>
      </c>
      <c r="C14" t="s">
        <v>480</v>
      </c>
      <c r="D14" t="s">
        <v>488</v>
      </c>
      <c r="E14">
        <v>0.89529590288315597</v>
      </c>
      <c r="F14" t="s">
        <v>482</v>
      </c>
      <c r="G14">
        <v>0.896656534954407</v>
      </c>
      <c r="H14" t="s">
        <v>483</v>
      </c>
      <c r="I14">
        <v>0.89597570235383395</v>
      </c>
    </row>
    <row r="15" spans="1:9" x14ac:dyDescent="0.25">
      <c r="A15" s="23" t="s">
        <v>97</v>
      </c>
    </row>
    <row r="16" spans="1:9" x14ac:dyDescent="0.25">
      <c r="A16" s="23" t="s">
        <v>479</v>
      </c>
      <c r="B16" t="s">
        <v>27</v>
      </c>
      <c r="C16" t="s">
        <v>480</v>
      </c>
      <c r="D16" t="s">
        <v>481</v>
      </c>
      <c r="E16">
        <v>0.51867219917012397</v>
      </c>
      <c r="F16" t="s">
        <v>482</v>
      </c>
      <c r="G16">
        <v>0.40849673202614301</v>
      </c>
      <c r="H16" t="s">
        <v>483</v>
      </c>
      <c r="I16">
        <v>0.45703839122486201</v>
      </c>
    </row>
    <row r="17" spans="1:9" x14ac:dyDescent="0.25">
      <c r="A17" s="23" t="s">
        <v>479</v>
      </c>
      <c r="B17" t="s">
        <v>27</v>
      </c>
      <c r="C17" t="s">
        <v>480</v>
      </c>
      <c r="D17" t="s">
        <v>484</v>
      </c>
      <c r="E17">
        <v>0.54325955734406395</v>
      </c>
      <c r="F17" t="s">
        <v>482</v>
      </c>
      <c r="G17">
        <v>0.402985074626865</v>
      </c>
      <c r="H17" t="s">
        <v>483</v>
      </c>
      <c r="I17">
        <v>0.462724935732647</v>
      </c>
    </row>
    <row r="18" spans="1:9" x14ac:dyDescent="0.25">
      <c r="A18" s="23" t="s">
        <v>479</v>
      </c>
      <c r="B18" t="s">
        <v>27</v>
      </c>
      <c r="C18" t="s">
        <v>480</v>
      </c>
      <c r="D18" t="s">
        <v>485</v>
      </c>
      <c r="E18">
        <v>0.54876033057851203</v>
      </c>
      <c r="F18" t="s">
        <v>482</v>
      </c>
      <c r="G18">
        <v>0.48326055312954802</v>
      </c>
      <c r="H18" t="s">
        <v>483</v>
      </c>
      <c r="I18">
        <v>0.51393188854489102</v>
      </c>
    </row>
    <row r="19" spans="1:9" x14ac:dyDescent="0.25">
      <c r="A19" s="23" t="s">
        <v>479</v>
      </c>
      <c r="B19" t="s">
        <v>27</v>
      </c>
      <c r="C19" t="s">
        <v>480</v>
      </c>
      <c r="D19" t="s">
        <v>486</v>
      </c>
      <c r="E19">
        <v>0.600977198697068</v>
      </c>
      <c r="F19" t="s">
        <v>482</v>
      </c>
      <c r="G19">
        <v>0.49134487350199701</v>
      </c>
      <c r="H19" t="s">
        <v>483</v>
      </c>
      <c r="I19">
        <v>0.54065934065933996</v>
      </c>
    </row>
    <row r="20" spans="1:9" x14ac:dyDescent="0.25">
      <c r="A20" s="23" t="s">
        <v>479</v>
      </c>
      <c r="B20" t="s">
        <v>27</v>
      </c>
      <c r="C20" t="s">
        <v>480</v>
      </c>
      <c r="D20" t="s">
        <v>487</v>
      </c>
      <c r="E20">
        <v>0.65543644716692195</v>
      </c>
      <c r="F20" t="s">
        <v>482</v>
      </c>
      <c r="G20">
        <v>0.57372654155495895</v>
      </c>
      <c r="H20" t="s">
        <v>483</v>
      </c>
      <c r="I20">
        <v>0.61186561829878405</v>
      </c>
    </row>
    <row r="21" spans="1:9" x14ac:dyDescent="0.25">
      <c r="A21" s="23" t="s">
        <v>479</v>
      </c>
      <c r="B21" t="s">
        <v>27</v>
      </c>
      <c r="C21" t="s">
        <v>480</v>
      </c>
      <c r="D21" t="s">
        <v>488</v>
      </c>
      <c r="E21">
        <v>0.88812154696132595</v>
      </c>
      <c r="F21" t="s">
        <v>482</v>
      </c>
      <c r="G21">
        <v>0.79975124378109397</v>
      </c>
      <c r="H21" t="s">
        <v>483</v>
      </c>
      <c r="I21">
        <v>0.84162303664921401</v>
      </c>
    </row>
    <row r="22" spans="1:9" x14ac:dyDescent="0.25">
      <c r="A22" s="23" t="s">
        <v>98</v>
      </c>
    </row>
    <row r="23" spans="1:9" x14ac:dyDescent="0.25">
      <c r="A23" s="23" t="s">
        <v>479</v>
      </c>
      <c r="B23" t="s">
        <v>28</v>
      </c>
      <c r="C23" t="s">
        <v>480</v>
      </c>
      <c r="D23" t="s">
        <v>481</v>
      </c>
      <c r="E23">
        <v>0.49665924276169199</v>
      </c>
      <c r="F23" t="s">
        <v>482</v>
      </c>
      <c r="G23">
        <v>0.38184931506849301</v>
      </c>
      <c r="H23" t="s">
        <v>483</v>
      </c>
      <c r="I23">
        <v>0.43175217812197397</v>
      </c>
    </row>
    <row r="24" spans="1:9" x14ac:dyDescent="0.25">
      <c r="A24" s="23" t="s">
        <v>479</v>
      </c>
      <c r="B24" t="s">
        <v>28</v>
      </c>
      <c r="C24" t="s">
        <v>480</v>
      </c>
      <c r="D24" t="s">
        <v>484</v>
      </c>
      <c r="E24">
        <v>0.57119476268412395</v>
      </c>
      <c r="F24" t="s">
        <v>482</v>
      </c>
      <c r="G24">
        <v>0.54788069073783296</v>
      </c>
      <c r="H24" t="s">
        <v>483</v>
      </c>
      <c r="I24">
        <v>0.55929487179487103</v>
      </c>
    </row>
    <row r="25" spans="1:9" x14ac:dyDescent="0.25">
      <c r="A25" s="23" t="s">
        <v>479</v>
      </c>
      <c r="B25" t="s">
        <v>28</v>
      </c>
      <c r="C25" t="s">
        <v>480</v>
      </c>
      <c r="D25" t="s">
        <v>485</v>
      </c>
      <c r="E25">
        <v>0.56461232604373701</v>
      </c>
      <c r="F25" t="s">
        <v>482</v>
      </c>
      <c r="G25">
        <v>0.45367412140574997</v>
      </c>
      <c r="H25" t="s">
        <v>483</v>
      </c>
      <c r="I25">
        <v>0.50310008857395905</v>
      </c>
    </row>
    <row r="26" spans="1:9" x14ac:dyDescent="0.25">
      <c r="A26" s="23" t="s">
        <v>479</v>
      </c>
      <c r="B26" t="s">
        <v>28</v>
      </c>
      <c r="C26" t="s">
        <v>480</v>
      </c>
      <c r="D26" t="s">
        <v>486</v>
      </c>
      <c r="E26">
        <v>0.55932203389830504</v>
      </c>
      <c r="F26" t="s">
        <v>482</v>
      </c>
      <c r="G26">
        <v>0.469936708860759</v>
      </c>
      <c r="H26" t="s">
        <v>483</v>
      </c>
      <c r="I26">
        <v>0.51074806534823702</v>
      </c>
    </row>
    <row r="27" spans="1:9" x14ac:dyDescent="0.25">
      <c r="A27" s="23" t="s">
        <v>479</v>
      </c>
      <c r="B27" t="s">
        <v>28</v>
      </c>
      <c r="C27" t="s">
        <v>480</v>
      </c>
      <c r="D27" t="s">
        <v>487</v>
      </c>
      <c r="E27">
        <v>0.67492260061919496</v>
      </c>
      <c r="F27" t="s">
        <v>482</v>
      </c>
      <c r="G27">
        <v>0.31276901004304097</v>
      </c>
      <c r="H27" t="s">
        <v>483</v>
      </c>
      <c r="I27">
        <v>0.42745098039215601</v>
      </c>
    </row>
    <row r="28" spans="1:9" x14ac:dyDescent="0.25">
      <c r="A28" s="23" t="s">
        <v>479</v>
      </c>
      <c r="B28" t="s">
        <v>28</v>
      </c>
      <c r="C28" t="s">
        <v>480</v>
      </c>
      <c r="D28" t="s">
        <v>488</v>
      </c>
      <c r="E28">
        <v>0.871835443037974</v>
      </c>
      <c r="F28" t="s">
        <v>482</v>
      </c>
      <c r="G28">
        <v>0.73564753004005301</v>
      </c>
      <c r="H28" t="s">
        <v>483</v>
      </c>
      <c r="I28">
        <v>0.79797248370745799</v>
      </c>
    </row>
    <row r="29" spans="1:9" x14ac:dyDescent="0.25">
      <c r="A29" s="23" t="s">
        <v>99</v>
      </c>
    </row>
    <row r="30" spans="1:9" x14ac:dyDescent="0.25">
      <c r="A30" s="23" t="s">
        <v>479</v>
      </c>
      <c r="B30" t="s">
        <v>29</v>
      </c>
      <c r="C30" t="s">
        <v>480</v>
      </c>
      <c r="D30" t="s">
        <v>481</v>
      </c>
      <c r="E30">
        <v>0.47992351816443501</v>
      </c>
      <c r="F30" t="s">
        <v>482</v>
      </c>
      <c r="G30">
        <v>0.45970695970695902</v>
      </c>
      <c r="H30" t="s">
        <v>483</v>
      </c>
      <c r="I30">
        <v>0.46959775491113098</v>
      </c>
    </row>
    <row r="31" spans="1:9" x14ac:dyDescent="0.25">
      <c r="A31" s="23" t="s">
        <v>479</v>
      </c>
      <c r="B31" t="s">
        <v>29</v>
      </c>
      <c r="C31" t="s">
        <v>480</v>
      </c>
      <c r="D31" t="s">
        <v>484</v>
      </c>
      <c r="E31">
        <v>0.461409395973154</v>
      </c>
      <c r="F31" t="s">
        <v>482</v>
      </c>
      <c r="G31">
        <v>0.51789077212806001</v>
      </c>
      <c r="H31" t="s">
        <v>483</v>
      </c>
      <c r="I31">
        <v>0.48802129547471101</v>
      </c>
    </row>
    <row r="32" spans="1:9" x14ac:dyDescent="0.25">
      <c r="A32" s="23" t="s">
        <v>479</v>
      </c>
      <c r="B32" t="s">
        <v>29</v>
      </c>
      <c r="C32" t="s">
        <v>480</v>
      </c>
      <c r="D32" t="s">
        <v>485</v>
      </c>
      <c r="E32">
        <v>0.43333333333333302</v>
      </c>
      <c r="F32" t="s">
        <v>482</v>
      </c>
      <c r="G32">
        <v>0.45614035087719201</v>
      </c>
      <c r="H32" t="s">
        <v>483</v>
      </c>
      <c r="I32">
        <v>0.44444444444444398</v>
      </c>
    </row>
    <row r="33" spans="1:9" x14ac:dyDescent="0.25">
      <c r="A33" s="23" t="s">
        <v>479</v>
      </c>
      <c r="B33" t="s">
        <v>29</v>
      </c>
      <c r="C33" t="s">
        <v>480</v>
      </c>
      <c r="D33" t="s">
        <v>486</v>
      </c>
      <c r="E33">
        <v>0.44525547445255398</v>
      </c>
      <c r="F33" t="s">
        <v>482</v>
      </c>
      <c r="G33">
        <v>0.59921414538310402</v>
      </c>
      <c r="H33" t="s">
        <v>483</v>
      </c>
      <c r="I33">
        <v>0.51088777219430404</v>
      </c>
    </row>
    <row r="34" spans="1:9" x14ac:dyDescent="0.25">
      <c r="A34" s="23" t="s">
        <v>479</v>
      </c>
      <c r="B34" t="s">
        <v>29</v>
      </c>
      <c r="C34" t="s">
        <v>480</v>
      </c>
      <c r="D34" t="s">
        <v>487</v>
      </c>
      <c r="E34">
        <v>0.44699646643109497</v>
      </c>
      <c r="F34" t="s">
        <v>482</v>
      </c>
      <c r="G34">
        <v>0.55604395604395596</v>
      </c>
      <c r="H34" t="s">
        <v>483</v>
      </c>
      <c r="I34">
        <v>0.49559255631733501</v>
      </c>
    </row>
    <row r="35" spans="1:9" x14ac:dyDescent="0.25">
      <c r="A35" s="23" t="s">
        <v>479</v>
      </c>
      <c r="B35" t="s">
        <v>29</v>
      </c>
      <c r="C35" t="s">
        <v>480</v>
      </c>
      <c r="D35" t="s">
        <v>488</v>
      </c>
      <c r="E35">
        <v>0.51905626134301197</v>
      </c>
      <c r="F35" t="s">
        <v>482</v>
      </c>
      <c r="G35">
        <v>0.59707724425887199</v>
      </c>
      <c r="H35" t="s">
        <v>483</v>
      </c>
      <c r="I35">
        <v>0.55533980582524201</v>
      </c>
    </row>
    <row r="36" spans="1:9" x14ac:dyDescent="0.25">
      <c r="A36" s="23" t="s">
        <v>100</v>
      </c>
    </row>
    <row r="37" spans="1:9" x14ac:dyDescent="0.25">
      <c r="A37" s="23" t="s">
        <v>479</v>
      </c>
      <c r="B37" t="s">
        <v>30</v>
      </c>
      <c r="C37" t="s">
        <v>480</v>
      </c>
      <c r="D37" t="s">
        <v>481</v>
      </c>
      <c r="E37">
        <v>0.54545454545454497</v>
      </c>
      <c r="F37" t="s">
        <v>482</v>
      </c>
      <c r="G37">
        <v>0.56375838926174404</v>
      </c>
      <c r="H37" t="s">
        <v>483</v>
      </c>
      <c r="I37">
        <v>0.55445544554455395</v>
      </c>
    </row>
    <row r="38" spans="1:9" x14ac:dyDescent="0.25">
      <c r="A38" s="23" t="s">
        <v>479</v>
      </c>
      <c r="B38" t="s">
        <v>30</v>
      </c>
      <c r="C38" t="s">
        <v>480</v>
      </c>
      <c r="D38" t="s">
        <v>484</v>
      </c>
      <c r="E38">
        <v>0.54240282685512298</v>
      </c>
      <c r="F38" t="s">
        <v>482</v>
      </c>
      <c r="G38">
        <v>0.48194662480376699</v>
      </c>
      <c r="H38" t="s">
        <v>483</v>
      </c>
      <c r="I38">
        <v>0.51039068994181203</v>
      </c>
    </row>
    <row r="39" spans="1:9" x14ac:dyDescent="0.25">
      <c r="A39" s="23" t="s">
        <v>479</v>
      </c>
      <c r="B39" t="s">
        <v>30</v>
      </c>
      <c r="C39" t="s">
        <v>480</v>
      </c>
      <c r="D39" t="s">
        <v>485</v>
      </c>
      <c r="E39">
        <v>0.61555555555555497</v>
      </c>
      <c r="F39" t="s">
        <v>482</v>
      </c>
      <c r="G39">
        <v>0.42161339421613298</v>
      </c>
      <c r="H39" t="s">
        <v>483</v>
      </c>
      <c r="I39">
        <v>0.50045167118337797</v>
      </c>
    </row>
    <row r="40" spans="1:9" x14ac:dyDescent="0.25">
      <c r="A40" s="23" t="s">
        <v>479</v>
      </c>
      <c r="B40" t="s">
        <v>30</v>
      </c>
      <c r="C40" t="s">
        <v>480</v>
      </c>
      <c r="D40" t="s">
        <v>486</v>
      </c>
      <c r="E40">
        <v>0.60553129548762696</v>
      </c>
      <c r="F40" t="s">
        <v>482</v>
      </c>
      <c r="G40">
        <v>0.60465116279069697</v>
      </c>
      <c r="H40" t="s">
        <v>483</v>
      </c>
      <c r="I40">
        <v>0.60509090909090901</v>
      </c>
    </row>
    <row r="41" spans="1:9" x14ac:dyDescent="0.25">
      <c r="A41" s="23" t="s">
        <v>479</v>
      </c>
      <c r="B41" t="s">
        <v>30</v>
      </c>
      <c r="C41" t="s">
        <v>480</v>
      </c>
      <c r="D41" t="s">
        <v>487</v>
      </c>
      <c r="E41">
        <v>0.74700854700854702</v>
      </c>
      <c r="F41" t="s">
        <v>482</v>
      </c>
      <c r="G41">
        <v>0.60027472527472503</v>
      </c>
      <c r="H41" t="s">
        <v>483</v>
      </c>
      <c r="I41">
        <v>0.66565118050266503</v>
      </c>
    </row>
    <row r="42" spans="1:9" x14ac:dyDescent="0.25">
      <c r="A42" s="23" t="s">
        <v>479</v>
      </c>
      <c r="B42" t="s">
        <v>30</v>
      </c>
      <c r="C42" t="s">
        <v>480</v>
      </c>
      <c r="D42" t="s">
        <v>488</v>
      </c>
      <c r="E42">
        <v>0.93362831858407003</v>
      </c>
      <c r="F42" t="s">
        <v>482</v>
      </c>
      <c r="G42">
        <v>0.83289473684210502</v>
      </c>
      <c r="H42" t="s">
        <v>483</v>
      </c>
      <c r="I42">
        <v>0.88038942976356005</v>
      </c>
    </row>
    <row r="43" spans="1:9" x14ac:dyDescent="0.25">
      <c r="A43" s="23" t="s">
        <v>101</v>
      </c>
    </row>
    <row r="44" spans="1:9" x14ac:dyDescent="0.25">
      <c r="A44" s="23" t="s">
        <v>479</v>
      </c>
      <c r="B44" t="s">
        <v>31</v>
      </c>
      <c r="C44" t="s">
        <v>480</v>
      </c>
      <c r="D44" t="s">
        <v>481</v>
      </c>
      <c r="E44">
        <v>0.49288256227757998</v>
      </c>
      <c r="F44" t="s">
        <v>482</v>
      </c>
      <c r="G44">
        <v>0.48853615520282101</v>
      </c>
      <c r="H44" t="s">
        <v>483</v>
      </c>
      <c r="I44">
        <v>0.49069973427812202</v>
      </c>
    </row>
    <row r="45" spans="1:9" x14ac:dyDescent="0.25">
      <c r="A45" s="23" t="s">
        <v>479</v>
      </c>
      <c r="B45" t="s">
        <v>31</v>
      </c>
      <c r="C45" t="s">
        <v>480</v>
      </c>
      <c r="D45" t="s">
        <v>484</v>
      </c>
      <c r="E45">
        <v>0.50606060606060599</v>
      </c>
      <c r="F45" t="s">
        <v>482</v>
      </c>
      <c r="G45">
        <v>0.58188153310104496</v>
      </c>
      <c r="H45" t="s">
        <v>483</v>
      </c>
      <c r="I45">
        <v>0.54132901134521805</v>
      </c>
    </row>
    <row r="46" spans="1:9" x14ac:dyDescent="0.25">
      <c r="A46" s="23" t="s">
        <v>479</v>
      </c>
      <c r="B46" t="s">
        <v>31</v>
      </c>
      <c r="C46" t="s">
        <v>480</v>
      </c>
      <c r="D46" t="s">
        <v>485</v>
      </c>
      <c r="E46">
        <v>0.49243466299862398</v>
      </c>
      <c r="F46" t="s">
        <v>482</v>
      </c>
      <c r="G46">
        <v>0.61617900172117002</v>
      </c>
      <c r="H46" t="s">
        <v>483</v>
      </c>
      <c r="I46">
        <v>0.54740061162079501</v>
      </c>
    </row>
    <row r="47" spans="1:9" x14ac:dyDescent="0.25">
      <c r="A47" s="23" t="s">
        <v>479</v>
      </c>
      <c r="B47" t="s">
        <v>31</v>
      </c>
      <c r="C47" t="s">
        <v>480</v>
      </c>
      <c r="D47" t="s">
        <v>486</v>
      </c>
      <c r="E47">
        <v>0.471086036671368</v>
      </c>
      <c r="F47" t="s">
        <v>482</v>
      </c>
      <c r="G47">
        <v>0.58289703315881303</v>
      </c>
      <c r="H47" t="s">
        <v>483</v>
      </c>
      <c r="I47">
        <v>0.52106084243369699</v>
      </c>
    </row>
    <row r="48" spans="1:9" x14ac:dyDescent="0.25">
      <c r="A48" s="23" t="s">
        <v>479</v>
      </c>
      <c r="B48" t="s">
        <v>31</v>
      </c>
      <c r="C48" t="s">
        <v>480</v>
      </c>
      <c r="D48" t="s">
        <v>487</v>
      </c>
      <c r="E48">
        <v>0.51372997711670398</v>
      </c>
      <c r="F48" t="s">
        <v>482</v>
      </c>
      <c r="G48">
        <v>0.783595113438045</v>
      </c>
      <c r="H48" t="s">
        <v>483</v>
      </c>
      <c r="I48">
        <v>0.62059433310297096</v>
      </c>
    </row>
    <row r="49" spans="1:9" x14ac:dyDescent="0.25">
      <c r="A49" s="23" t="s">
        <v>479</v>
      </c>
      <c r="B49" t="s">
        <v>31</v>
      </c>
      <c r="C49" t="s">
        <v>480</v>
      </c>
      <c r="D49" t="s">
        <v>488</v>
      </c>
      <c r="E49">
        <v>0.36068376068376001</v>
      </c>
      <c r="F49" t="s">
        <v>482</v>
      </c>
      <c r="G49">
        <v>0.69867549668874096</v>
      </c>
      <c r="H49" t="s">
        <v>483</v>
      </c>
      <c r="I49">
        <v>0.47576099210822997</v>
      </c>
    </row>
    <row r="50" spans="1:9" x14ac:dyDescent="0.25">
      <c r="A50" s="23" t="s">
        <v>102</v>
      </c>
    </row>
    <row r="51" spans="1:9" x14ac:dyDescent="0.25">
      <c r="A51" s="23" t="s">
        <v>479</v>
      </c>
      <c r="B51" t="s">
        <v>32</v>
      </c>
      <c r="C51" t="s">
        <v>480</v>
      </c>
      <c r="D51" t="s">
        <v>481</v>
      </c>
      <c r="E51">
        <v>0.50342465753424603</v>
      </c>
      <c r="F51" t="s">
        <v>482</v>
      </c>
      <c r="G51">
        <v>0.51943462897526504</v>
      </c>
      <c r="H51" t="s">
        <v>483</v>
      </c>
      <c r="I51">
        <v>0.51130434782608603</v>
      </c>
    </row>
    <row r="52" spans="1:9" x14ac:dyDescent="0.25">
      <c r="A52" s="23" t="s">
        <v>479</v>
      </c>
      <c r="B52" t="s">
        <v>32</v>
      </c>
      <c r="C52" t="s">
        <v>480</v>
      </c>
      <c r="D52" t="s">
        <v>484</v>
      </c>
      <c r="E52">
        <v>0.47581903276130999</v>
      </c>
      <c r="F52" t="s">
        <v>482</v>
      </c>
      <c r="G52">
        <v>0.54856115107913594</v>
      </c>
      <c r="H52" t="s">
        <v>483</v>
      </c>
      <c r="I52">
        <v>0.50960735171261395</v>
      </c>
    </row>
    <row r="53" spans="1:9" x14ac:dyDescent="0.25">
      <c r="A53" s="23" t="s">
        <v>479</v>
      </c>
      <c r="B53" t="s">
        <v>32</v>
      </c>
      <c r="C53" t="s">
        <v>480</v>
      </c>
      <c r="D53" t="s">
        <v>485</v>
      </c>
      <c r="E53">
        <v>0.46560846560846503</v>
      </c>
      <c r="F53" t="s">
        <v>482</v>
      </c>
      <c r="G53">
        <v>0.48979591836734598</v>
      </c>
      <c r="H53" t="s">
        <v>483</v>
      </c>
      <c r="I53">
        <v>0.47739602169981898</v>
      </c>
    </row>
    <row r="54" spans="1:9" x14ac:dyDescent="0.25">
      <c r="A54" s="23" t="s">
        <v>479</v>
      </c>
      <c r="B54" t="s">
        <v>32</v>
      </c>
      <c r="C54" t="s">
        <v>480</v>
      </c>
      <c r="D54" t="s">
        <v>486</v>
      </c>
      <c r="E54">
        <v>0.46004842615012098</v>
      </c>
      <c r="F54" t="s">
        <v>482</v>
      </c>
      <c r="G54">
        <v>0.35916824196597302</v>
      </c>
      <c r="H54" t="s">
        <v>483</v>
      </c>
      <c r="I54">
        <v>0.403397027600849</v>
      </c>
    </row>
    <row r="55" spans="1:9" x14ac:dyDescent="0.25">
      <c r="A55" s="23" t="s">
        <v>479</v>
      </c>
      <c r="B55" t="s">
        <v>32</v>
      </c>
      <c r="C55" t="s">
        <v>480</v>
      </c>
      <c r="D55" t="s">
        <v>487</v>
      </c>
      <c r="E55">
        <v>0.54478976234003595</v>
      </c>
      <c r="F55" t="s">
        <v>482</v>
      </c>
      <c r="G55">
        <v>0.548802946593001</v>
      </c>
      <c r="H55" t="s">
        <v>483</v>
      </c>
      <c r="I55">
        <v>0.54678899082568799</v>
      </c>
    </row>
    <row r="56" spans="1:9" x14ac:dyDescent="0.25">
      <c r="A56" s="23" t="s">
        <v>479</v>
      </c>
      <c r="B56" t="s">
        <v>32</v>
      </c>
      <c r="C56" t="s">
        <v>480</v>
      </c>
      <c r="D56" t="s">
        <v>488</v>
      </c>
      <c r="E56">
        <v>0.458452722063037</v>
      </c>
      <c r="F56" t="s">
        <v>482</v>
      </c>
      <c r="G56">
        <v>0.57553956834532305</v>
      </c>
      <c r="H56" t="s">
        <v>483</v>
      </c>
      <c r="I56">
        <v>0.51036682615629902</v>
      </c>
    </row>
    <row r="57" spans="1:9" x14ac:dyDescent="0.25">
      <c r="A57" s="23" t="s">
        <v>103</v>
      </c>
    </row>
    <row r="58" spans="1:9" x14ac:dyDescent="0.25">
      <c r="A58" s="23" t="s">
        <v>479</v>
      </c>
      <c r="B58" t="s">
        <v>489</v>
      </c>
      <c r="C58" t="s">
        <v>480</v>
      </c>
      <c r="D58" t="s">
        <v>481</v>
      </c>
      <c r="E58">
        <v>0.53160453808751995</v>
      </c>
      <c r="F58" t="s">
        <v>482</v>
      </c>
      <c r="G58">
        <v>0.54849498327759105</v>
      </c>
      <c r="H58" t="s">
        <v>483</v>
      </c>
      <c r="I58">
        <v>0.53991769547325097</v>
      </c>
    </row>
    <row r="59" spans="1:9" x14ac:dyDescent="0.25">
      <c r="A59" s="23" t="s">
        <v>479</v>
      </c>
      <c r="B59" t="s">
        <v>489</v>
      </c>
      <c r="C59" t="s">
        <v>480</v>
      </c>
      <c r="D59" t="s">
        <v>484</v>
      </c>
      <c r="E59">
        <v>0.55213675213675195</v>
      </c>
      <c r="F59" t="s">
        <v>482</v>
      </c>
      <c r="G59">
        <v>0.52180936995153404</v>
      </c>
      <c r="H59" t="s">
        <v>483</v>
      </c>
      <c r="I59">
        <v>0.536544850498338</v>
      </c>
    </row>
    <row r="60" spans="1:9" x14ac:dyDescent="0.25">
      <c r="A60" s="23" t="s">
        <v>479</v>
      </c>
      <c r="B60" t="s">
        <v>489</v>
      </c>
      <c r="C60" t="s">
        <v>480</v>
      </c>
      <c r="D60" t="s">
        <v>485</v>
      </c>
      <c r="E60">
        <v>0.57434944237918195</v>
      </c>
      <c r="F60" t="s">
        <v>482</v>
      </c>
      <c r="G60">
        <v>0.48738170347003101</v>
      </c>
      <c r="H60" t="s">
        <v>483</v>
      </c>
      <c r="I60">
        <v>0.52730375426621101</v>
      </c>
    </row>
    <row r="61" spans="1:9" x14ac:dyDescent="0.25">
      <c r="A61" s="23" t="s">
        <v>479</v>
      </c>
      <c r="B61" t="s">
        <v>489</v>
      </c>
      <c r="C61" t="s">
        <v>480</v>
      </c>
      <c r="D61" t="s">
        <v>486</v>
      </c>
      <c r="E61">
        <v>0.62823061630218602</v>
      </c>
      <c r="F61" t="s">
        <v>482</v>
      </c>
      <c r="G61">
        <v>0.483920367534456</v>
      </c>
      <c r="H61" t="s">
        <v>483</v>
      </c>
      <c r="I61">
        <v>0.54671280276816603</v>
      </c>
    </row>
    <row r="62" spans="1:9" x14ac:dyDescent="0.25">
      <c r="A62" s="23" t="s">
        <v>479</v>
      </c>
      <c r="B62" t="s">
        <v>489</v>
      </c>
      <c r="C62" t="s">
        <v>480</v>
      </c>
      <c r="D62" t="s">
        <v>487</v>
      </c>
      <c r="E62">
        <v>0.72934973637961298</v>
      </c>
      <c r="F62" t="s">
        <v>482</v>
      </c>
      <c r="G62">
        <v>0.62125748502994005</v>
      </c>
      <c r="H62" t="s">
        <v>483</v>
      </c>
      <c r="I62">
        <v>0.67097817299919105</v>
      </c>
    </row>
    <row r="63" spans="1:9" x14ac:dyDescent="0.25">
      <c r="A63" s="23" t="s">
        <v>479</v>
      </c>
      <c r="B63" t="s">
        <v>489</v>
      </c>
      <c r="C63" t="s">
        <v>480</v>
      </c>
      <c r="D63" t="s">
        <v>488</v>
      </c>
      <c r="E63">
        <v>0.71878940731399699</v>
      </c>
      <c r="F63" t="s">
        <v>482</v>
      </c>
      <c r="G63">
        <v>0.87692307692307603</v>
      </c>
      <c r="H63" t="s">
        <v>483</v>
      </c>
      <c r="I63">
        <v>0.79002079002078995</v>
      </c>
    </row>
    <row r="64" spans="1:9" x14ac:dyDescent="0.25">
      <c r="A64" s="23" t="s">
        <v>104</v>
      </c>
    </row>
    <row r="65" spans="1:9" x14ac:dyDescent="0.25">
      <c r="A65" s="23" t="s">
        <v>479</v>
      </c>
      <c r="B65" t="s">
        <v>34</v>
      </c>
      <c r="C65" t="s">
        <v>480</v>
      </c>
      <c r="D65" t="s">
        <v>481</v>
      </c>
      <c r="E65">
        <v>0.531645569620253</v>
      </c>
      <c r="F65" t="s">
        <v>482</v>
      </c>
      <c r="G65">
        <v>0.430034129692832</v>
      </c>
      <c r="H65" t="s">
        <v>483</v>
      </c>
      <c r="I65">
        <v>0.475471698113207</v>
      </c>
    </row>
    <row r="66" spans="1:9" x14ac:dyDescent="0.25">
      <c r="A66" s="23" t="s">
        <v>479</v>
      </c>
      <c r="B66" t="s">
        <v>34</v>
      </c>
      <c r="C66" t="s">
        <v>480</v>
      </c>
      <c r="D66" t="s">
        <v>484</v>
      </c>
      <c r="E66">
        <v>0.62033195020746801</v>
      </c>
      <c r="F66" t="s">
        <v>482</v>
      </c>
      <c r="G66">
        <v>0.45030120481927699</v>
      </c>
      <c r="H66" t="s">
        <v>483</v>
      </c>
      <c r="I66">
        <v>0.52181500872600295</v>
      </c>
    </row>
    <row r="67" spans="1:9" x14ac:dyDescent="0.25">
      <c r="A67" s="23" t="s">
        <v>479</v>
      </c>
      <c r="B67" t="s">
        <v>34</v>
      </c>
      <c r="C67" t="s">
        <v>480</v>
      </c>
      <c r="D67" t="s">
        <v>485</v>
      </c>
      <c r="E67">
        <v>0.72545454545454502</v>
      </c>
      <c r="F67" t="s">
        <v>482</v>
      </c>
      <c r="G67">
        <v>0.57742402315484798</v>
      </c>
      <c r="H67" t="s">
        <v>483</v>
      </c>
      <c r="I67">
        <v>0.64302981466559195</v>
      </c>
    </row>
    <row r="68" spans="1:9" x14ac:dyDescent="0.25">
      <c r="A68" s="23" t="s">
        <v>479</v>
      </c>
      <c r="B68" t="s">
        <v>34</v>
      </c>
      <c r="C68" t="s">
        <v>480</v>
      </c>
      <c r="D68" t="s">
        <v>486</v>
      </c>
      <c r="E68">
        <v>0.77665995975855096</v>
      </c>
      <c r="F68" t="s">
        <v>482</v>
      </c>
      <c r="G68">
        <v>0.51193633952254602</v>
      </c>
      <c r="H68" t="s">
        <v>483</v>
      </c>
      <c r="I68">
        <v>0.61710631494804102</v>
      </c>
    </row>
    <row r="69" spans="1:9" x14ac:dyDescent="0.25">
      <c r="A69" s="23" t="s">
        <v>479</v>
      </c>
      <c r="B69" t="s">
        <v>34</v>
      </c>
      <c r="C69" t="s">
        <v>480</v>
      </c>
      <c r="D69" t="s">
        <v>487</v>
      </c>
      <c r="E69">
        <v>0.82216142270861803</v>
      </c>
      <c r="F69" t="s">
        <v>482</v>
      </c>
      <c r="G69">
        <v>0.70789163722025905</v>
      </c>
      <c r="H69" t="s">
        <v>483</v>
      </c>
      <c r="I69">
        <v>0.76075949367088602</v>
      </c>
    </row>
    <row r="70" spans="1:9" x14ac:dyDescent="0.25">
      <c r="A70" s="23" t="s">
        <v>479</v>
      </c>
      <c r="B70" t="s">
        <v>34</v>
      </c>
      <c r="C70" t="s">
        <v>480</v>
      </c>
      <c r="D70" t="s">
        <v>488</v>
      </c>
      <c r="E70">
        <v>0.94477085781433601</v>
      </c>
      <c r="F70" t="s">
        <v>482</v>
      </c>
      <c r="G70">
        <v>0.94811320754716899</v>
      </c>
      <c r="H70" t="s">
        <v>483</v>
      </c>
      <c r="I70">
        <v>0.94643908181283098</v>
      </c>
    </row>
    <row r="71" spans="1:9" x14ac:dyDescent="0.25">
      <c r="A71" s="23" t="s">
        <v>105</v>
      </c>
    </row>
    <row r="72" spans="1:9" x14ac:dyDescent="0.25">
      <c r="A72" s="23" t="s">
        <v>479</v>
      </c>
      <c r="B72" t="s">
        <v>35</v>
      </c>
      <c r="C72" t="s">
        <v>480</v>
      </c>
      <c r="D72" t="s">
        <v>481</v>
      </c>
      <c r="E72">
        <v>0.50528169014084501</v>
      </c>
      <c r="F72" t="s">
        <v>482</v>
      </c>
      <c r="G72">
        <v>0.50796460176991098</v>
      </c>
      <c r="H72" t="s">
        <v>483</v>
      </c>
      <c r="I72">
        <v>0.50661959399823397</v>
      </c>
    </row>
    <row r="73" spans="1:9" x14ac:dyDescent="0.25">
      <c r="A73" s="23" t="s">
        <v>479</v>
      </c>
      <c r="B73" t="s">
        <v>35</v>
      </c>
      <c r="C73" t="s">
        <v>480</v>
      </c>
      <c r="D73" t="s">
        <v>484</v>
      </c>
      <c r="E73">
        <v>0.52532561505065101</v>
      </c>
      <c r="F73" t="s">
        <v>482</v>
      </c>
      <c r="G73">
        <v>0.60804020100502498</v>
      </c>
      <c r="H73" t="s">
        <v>483</v>
      </c>
      <c r="I73">
        <v>0.56366459627329102</v>
      </c>
    </row>
    <row r="74" spans="1:9" x14ac:dyDescent="0.25">
      <c r="A74" s="23" t="s">
        <v>479</v>
      </c>
      <c r="B74" t="s">
        <v>35</v>
      </c>
      <c r="C74" t="s">
        <v>480</v>
      </c>
      <c r="D74" t="s">
        <v>485</v>
      </c>
      <c r="E74">
        <v>0.52500000000000002</v>
      </c>
      <c r="F74" t="s">
        <v>482</v>
      </c>
      <c r="G74">
        <v>0.57632933104631201</v>
      </c>
      <c r="H74" t="s">
        <v>483</v>
      </c>
      <c r="I74">
        <v>0.54946852003270596</v>
      </c>
    </row>
    <row r="75" spans="1:9" x14ac:dyDescent="0.25">
      <c r="A75" s="23" t="s">
        <v>479</v>
      </c>
      <c r="B75" t="s">
        <v>35</v>
      </c>
      <c r="C75" t="s">
        <v>480</v>
      </c>
      <c r="D75" t="s">
        <v>486</v>
      </c>
      <c r="E75">
        <v>0.52434456928838902</v>
      </c>
      <c r="F75" t="s">
        <v>482</v>
      </c>
      <c r="G75">
        <v>0.49645390070921902</v>
      </c>
      <c r="H75" t="s">
        <v>483</v>
      </c>
      <c r="I75">
        <v>0.51001821493624699</v>
      </c>
    </row>
    <row r="76" spans="1:9" x14ac:dyDescent="0.25">
      <c r="A76" s="23" t="s">
        <v>479</v>
      </c>
      <c r="B76" t="s">
        <v>35</v>
      </c>
      <c r="C76" t="s">
        <v>480</v>
      </c>
      <c r="D76" t="s">
        <v>487</v>
      </c>
      <c r="E76">
        <v>0.448015122873345</v>
      </c>
      <c r="F76" t="s">
        <v>482</v>
      </c>
      <c r="G76">
        <v>0.43726937269372601</v>
      </c>
      <c r="H76" t="s">
        <v>483</v>
      </c>
      <c r="I76">
        <v>0.44257703081232402</v>
      </c>
    </row>
    <row r="77" spans="1:9" x14ac:dyDescent="0.25">
      <c r="A77" s="23" t="s">
        <v>479</v>
      </c>
      <c r="B77" t="s">
        <v>35</v>
      </c>
      <c r="C77" t="s">
        <v>480</v>
      </c>
      <c r="D77" t="s">
        <v>488</v>
      </c>
      <c r="E77">
        <v>0.64048865619546202</v>
      </c>
      <c r="F77" t="s">
        <v>482</v>
      </c>
      <c r="G77">
        <v>0.70986460348162395</v>
      </c>
      <c r="H77" t="s">
        <v>483</v>
      </c>
      <c r="I77">
        <v>0.67339449541284402</v>
      </c>
    </row>
    <row r="78" spans="1:9" x14ac:dyDescent="0.25">
      <c r="A78" s="23" t="s">
        <v>106</v>
      </c>
    </row>
    <row r="79" spans="1:9" x14ac:dyDescent="0.25">
      <c r="A79" s="23" t="s">
        <v>479</v>
      </c>
      <c r="B79" t="s">
        <v>36</v>
      </c>
      <c r="C79" t="s">
        <v>480</v>
      </c>
      <c r="D79" t="s">
        <v>481</v>
      </c>
      <c r="E79">
        <v>0.50596252129471797</v>
      </c>
      <c r="F79" t="s">
        <v>482</v>
      </c>
      <c r="G79">
        <v>0.522887323943662</v>
      </c>
      <c r="H79" t="s">
        <v>483</v>
      </c>
      <c r="I79">
        <v>0.51428571428571401</v>
      </c>
    </row>
    <row r="80" spans="1:9" x14ac:dyDescent="0.25">
      <c r="A80" s="23" t="s">
        <v>479</v>
      </c>
      <c r="B80" t="s">
        <v>36</v>
      </c>
      <c r="C80" t="s">
        <v>480</v>
      </c>
      <c r="D80" t="s">
        <v>484</v>
      </c>
      <c r="E80">
        <v>0.525101763907734</v>
      </c>
      <c r="F80" t="s">
        <v>482</v>
      </c>
      <c r="G80">
        <v>0.63132137030995095</v>
      </c>
      <c r="H80" t="s">
        <v>483</v>
      </c>
      <c r="I80">
        <v>0.57333333333333303</v>
      </c>
    </row>
    <row r="81" spans="1:9" x14ac:dyDescent="0.25">
      <c r="A81" s="23" t="s">
        <v>479</v>
      </c>
      <c r="B81" t="s">
        <v>36</v>
      </c>
      <c r="C81" t="s">
        <v>480</v>
      </c>
      <c r="D81" t="s">
        <v>485</v>
      </c>
      <c r="E81">
        <v>0.55286624203821599</v>
      </c>
      <c r="F81" t="s">
        <v>482</v>
      </c>
      <c r="G81">
        <v>0.71854304635761501</v>
      </c>
      <c r="H81" t="s">
        <v>483</v>
      </c>
      <c r="I81">
        <v>0.62491000719942402</v>
      </c>
    </row>
    <row r="82" spans="1:9" x14ac:dyDescent="0.25">
      <c r="A82" s="23" t="s">
        <v>479</v>
      </c>
      <c r="B82" t="s">
        <v>36</v>
      </c>
      <c r="C82" t="s">
        <v>480</v>
      </c>
      <c r="D82" t="s">
        <v>486</v>
      </c>
      <c r="E82">
        <v>0.54694835680751097</v>
      </c>
      <c r="F82" t="s">
        <v>482</v>
      </c>
      <c r="G82">
        <v>0.760195758564437</v>
      </c>
      <c r="H82" t="s">
        <v>483</v>
      </c>
      <c r="I82">
        <v>0.63617747440272998</v>
      </c>
    </row>
    <row r="83" spans="1:9" x14ac:dyDescent="0.25">
      <c r="A83" s="23" t="s">
        <v>479</v>
      </c>
      <c r="B83" t="s">
        <v>36</v>
      </c>
      <c r="C83" t="s">
        <v>480</v>
      </c>
      <c r="D83" t="s">
        <v>487</v>
      </c>
      <c r="E83">
        <v>0.40988835725677802</v>
      </c>
      <c r="F83" t="s">
        <v>482</v>
      </c>
      <c r="G83">
        <v>0.52772073921971197</v>
      </c>
      <c r="H83" t="s">
        <v>483</v>
      </c>
      <c r="I83">
        <v>0.46140035906642701</v>
      </c>
    </row>
    <row r="84" spans="1:9" x14ac:dyDescent="0.25">
      <c r="A84" s="23" t="s">
        <v>479</v>
      </c>
      <c r="B84" t="s">
        <v>36</v>
      </c>
      <c r="C84" t="s">
        <v>480</v>
      </c>
      <c r="D84" t="s">
        <v>488</v>
      </c>
      <c r="E84">
        <v>0.40243902439024298</v>
      </c>
      <c r="F84" t="s">
        <v>482</v>
      </c>
      <c r="G84">
        <v>0.87610619469026496</v>
      </c>
      <c r="H84" t="s">
        <v>483</v>
      </c>
      <c r="I84">
        <v>0.55153203342618295</v>
      </c>
    </row>
    <row r="85" spans="1:9" x14ac:dyDescent="0.25">
      <c r="A85" s="23" t="s">
        <v>107</v>
      </c>
    </row>
    <row r="86" spans="1:9" x14ac:dyDescent="0.25">
      <c r="A86" s="23" t="s">
        <v>479</v>
      </c>
      <c r="B86" t="s">
        <v>490</v>
      </c>
      <c r="C86" t="s">
        <v>480</v>
      </c>
      <c r="D86" t="s">
        <v>491</v>
      </c>
      <c r="E86">
        <v>0.513178030947117</v>
      </c>
      <c r="F86" t="s">
        <v>482</v>
      </c>
      <c r="G86">
        <v>0.47341176470588198</v>
      </c>
      <c r="H86" t="s">
        <v>483</v>
      </c>
      <c r="I86">
        <v>0.49249347258485598</v>
      </c>
    </row>
    <row r="87" spans="1:9" x14ac:dyDescent="0.25">
      <c r="A87" s="23" t="s">
        <v>479</v>
      </c>
      <c r="B87" t="s">
        <v>490</v>
      </c>
      <c r="C87" t="s">
        <v>480</v>
      </c>
      <c r="D87" t="s">
        <v>492</v>
      </c>
      <c r="E87">
        <v>0.52938468620530899</v>
      </c>
      <c r="F87" t="s">
        <v>482</v>
      </c>
      <c r="G87">
        <v>0.51240160403980395</v>
      </c>
      <c r="H87" t="s">
        <v>483</v>
      </c>
      <c r="I87">
        <v>0.52075471698113196</v>
      </c>
    </row>
    <row r="88" spans="1:9" x14ac:dyDescent="0.25">
      <c r="A88" s="23" t="s">
        <v>479</v>
      </c>
      <c r="B88" t="s">
        <v>490</v>
      </c>
      <c r="C88" t="s">
        <v>480</v>
      </c>
      <c r="D88" t="s">
        <v>493</v>
      </c>
      <c r="E88">
        <v>0.54810676598386099</v>
      </c>
      <c r="F88" t="s">
        <v>482</v>
      </c>
      <c r="G88">
        <v>0.52171344165435696</v>
      </c>
      <c r="H88" t="s">
        <v>483</v>
      </c>
      <c r="I88">
        <v>0.53458453155743901</v>
      </c>
    </row>
    <row r="89" spans="1:9" x14ac:dyDescent="0.25">
      <c r="A89" s="23" t="s">
        <v>479</v>
      </c>
      <c r="B89" t="s">
        <v>490</v>
      </c>
      <c r="C89" t="s">
        <v>480</v>
      </c>
      <c r="D89" t="s">
        <v>494</v>
      </c>
      <c r="E89">
        <v>0.55762864881131502</v>
      </c>
      <c r="F89" t="s">
        <v>482</v>
      </c>
      <c r="G89">
        <v>0.53239477086625397</v>
      </c>
      <c r="H89" t="s">
        <v>483</v>
      </c>
      <c r="I89">
        <v>0.54471962960241005</v>
      </c>
    </row>
    <row r="90" spans="1:9" x14ac:dyDescent="0.25">
      <c r="A90" s="23" t="s">
        <v>479</v>
      </c>
      <c r="B90" t="s">
        <v>490</v>
      </c>
      <c r="C90" t="s">
        <v>480</v>
      </c>
      <c r="D90" t="s">
        <v>495</v>
      </c>
      <c r="E90">
        <v>0.60638619854721498</v>
      </c>
      <c r="F90" t="s">
        <v>482</v>
      </c>
      <c r="G90">
        <v>0.56540143925497299</v>
      </c>
      <c r="H90" t="s">
        <v>483</v>
      </c>
      <c r="I90">
        <v>0.58517707192405899</v>
      </c>
    </row>
    <row r="91" spans="1:9" x14ac:dyDescent="0.25">
      <c r="A91" s="23" t="s">
        <v>479</v>
      </c>
      <c r="B91" t="s">
        <v>490</v>
      </c>
      <c r="C91" t="s">
        <v>480</v>
      </c>
      <c r="D91" t="s">
        <v>496</v>
      </c>
      <c r="E91">
        <v>0.72789313198780303</v>
      </c>
      <c r="F91" t="s">
        <v>482</v>
      </c>
      <c r="G91">
        <v>0.79939403603890902</v>
      </c>
      <c r="H91" t="s">
        <v>483</v>
      </c>
      <c r="I91">
        <v>0.76196990424076605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21A44-4DA9-4811-BBEB-BC85DE140A12}">
  <sheetPr codeName="Sheet13">
    <tabColor theme="9" tint="0.39997558519241921"/>
  </sheetPr>
  <dimension ref="A1:A91"/>
  <sheetViews>
    <sheetView workbookViewId="0"/>
  </sheetViews>
  <sheetFormatPr defaultRowHeight="15" x14ac:dyDescent="0.25"/>
  <sheetData>
    <row r="1" spans="1:1" x14ac:dyDescent="0.25">
      <c r="A1" s="2" t="s">
        <v>90</v>
      </c>
    </row>
    <row r="3" spans="1:1" x14ac:dyDescent="0.25">
      <c r="A3" s="23" t="s">
        <v>180</v>
      </c>
    </row>
    <row r="4" spans="1:1" x14ac:dyDescent="0.25">
      <c r="A4" s="23" t="s">
        <v>181</v>
      </c>
    </row>
    <row r="5" spans="1:1" x14ac:dyDescent="0.25">
      <c r="A5" s="23" t="s">
        <v>499</v>
      </c>
    </row>
    <row r="6" spans="1:1" x14ac:dyDescent="0.25">
      <c r="A6" s="23" t="s">
        <v>94</v>
      </c>
    </row>
    <row r="7" spans="1:1" x14ac:dyDescent="0.25">
      <c r="A7" s="23" t="s">
        <v>95</v>
      </c>
    </row>
    <row r="8" spans="1:1" x14ac:dyDescent="0.25">
      <c r="A8" s="23" t="s">
        <v>96</v>
      </c>
    </row>
    <row r="9" spans="1:1" x14ac:dyDescent="0.25">
      <c r="A9" s="23" t="s">
        <v>500</v>
      </c>
    </row>
    <row r="10" spans="1:1" x14ac:dyDescent="0.25">
      <c r="A10" s="23" t="s">
        <v>501</v>
      </c>
    </row>
    <row r="11" spans="1:1" x14ac:dyDescent="0.25">
      <c r="A11" s="23" t="s">
        <v>502</v>
      </c>
    </row>
    <row r="12" spans="1:1" x14ac:dyDescent="0.25">
      <c r="A12" s="23" t="s">
        <v>503</v>
      </c>
    </row>
    <row r="13" spans="1:1" x14ac:dyDescent="0.25">
      <c r="A13" s="23" t="s">
        <v>504</v>
      </c>
    </row>
    <row r="14" spans="1:1" x14ac:dyDescent="0.25">
      <c r="A14" s="23" t="s">
        <v>505</v>
      </c>
    </row>
    <row r="15" spans="1:1" x14ac:dyDescent="0.25">
      <c r="A15" s="23" t="s">
        <v>97</v>
      </c>
    </row>
    <row r="16" spans="1:1" x14ac:dyDescent="0.25">
      <c r="A16" s="23" t="s">
        <v>506</v>
      </c>
    </row>
    <row r="17" spans="1:1" x14ac:dyDescent="0.25">
      <c r="A17" s="23" t="s">
        <v>507</v>
      </c>
    </row>
    <row r="18" spans="1:1" x14ac:dyDescent="0.25">
      <c r="A18" s="23" t="s">
        <v>508</v>
      </c>
    </row>
    <row r="19" spans="1:1" x14ac:dyDescent="0.25">
      <c r="A19" s="23" t="s">
        <v>509</v>
      </c>
    </row>
    <row r="20" spans="1:1" x14ac:dyDescent="0.25">
      <c r="A20" s="23" t="s">
        <v>510</v>
      </c>
    </row>
    <row r="21" spans="1:1" x14ac:dyDescent="0.25">
      <c r="A21" s="23" t="s">
        <v>511</v>
      </c>
    </row>
    <row r="22" spans="1:1" x14ac:dyDescent="0.25">
      <c r="A22" s="23" t="s">
        <v>98</v>
      </c>
    </row>
    <row r="23" spans="1:1" x14ac:dyDescent="0.25">
      <c r="A23" s="23" t="s">
        <v>512</v>
      </c>
    </row>
    <row r="24" spans="1:1" x14ac:dyDescent="0.25">
      <c r="A24" s="23" t="s">
        <v>513</v>
      </c>
    </row>
    <row r="25" spans="1:1" x14ac:dyDescent="0.25">
      <c r="A25" s="23" t="s">
        <v>514</v>
      </c>
    </row>
    <row r="26" spans="1:1" x14ac:dyDescent="0.25">
      <c r="A26" s="23" t="s">
        <v>515</v>
      </c>
    </row>
    <row r="27" spans="1:1" x14ac:dyDescent="0.25">
      <c r="A27" s="23" t="s">
        <v>516</v>
      </c>
    </row>
    <row r="28" spans="1:1" x14ac:dyDescent="0.25">
      <c r="A28" s="23" t="s">
        <v>517</v>
      </c>
    </row>
    <row r="29" spans="1:1" x14ac:dyDescent="0.25">
      <c r="A29" s="23" t="s">
        <v>99</v>
      </c>
    </row>
    <row r="30" spans="1:1" x14ac:dyDescent="0.25">
      <c r="A30" s="23" t="s">
        <v>518</v>
      </c>
    </row>
    <row r="31" spans="1:1" x14ac:dyDescent="0.25">
      <c r="A31" s="23" t="s">
        <v>519</v>
      </c>
    </row>
    <row r="32" spans="1:1" x14ac:dyDescent="0.25">
      <c r="A32" s="23" t="s">
        <v>520</v>
      </c>
    </row>
    <row r="33" spans="1:1" x14ac:dyDescent="0.25">
      <c r="A33" s="23" t="s">
        <v>521</v>
      </c>
    </row>
    <row r="34" spans="1:1" x14ac:dyDescent="0.25">
      <c r="A34" s="23" t="s">
        <v>522</v>
      </c>
    </row>
    <row r="35" spans="1:1" x14ac:dyDescent="0.25">
      <c r="A35" s="23" t="s">
        <v>523</v>
      </c>
    </row>
    <row r="36" spans="1:1" x14ac:dyDescent="0.25">
      <c r="A36" s="23" t="s">
        <v>100</v>
      </c>
    </row>
    <row r="37" spans="1:1" x14ac:dyDescent="0.25">
      <c r="A37" s="23" t="s">
        <v>524</v>
      </c>
    </row>
    <row r="38" spans="1:1" x14ac:dyDescent="0.25">
      <c r="A38" s="23" t="s">
        <v>525</v>
      </c>
    </row>
    <row r="39" spans="1:1" x14ac:dyDescent="0.25">
      <c r="A39" s="23" t="s">
        <v>526</v>
      </c>
    </row>
    <row r="40" spans="1:1" x14ac:dyDescent="0.25">
      <c r="A40" s="23" t="s">
        <v>527</v>
      </c>
    </row>
    <row r="41" spans="1:1" x14ac:dyDescent="0.25">
      <c r="A41" s="23" t="s">
        <v>528</v>
      </c>
    </row>
    <row r="42" spans="1:1" x14ac:dyDescent="0.25">
      <c r="A42" s="23" t="s">
        <v>529</v>
      </c>
    </row>
    <row r="43" spans="1:1" x14ac:dyDescent="0.25">
      <c r="A43" s="23" t="s">
        <v>101</v>
      </c>
    </row>
    <row r="44" spans="1:1" x14ac:dyDescent="0.25">
      <c r="A44" s="23" t="s">
        <v>530</v>
      </c>
    </row>
    <row r="45" spans="1:1" x14ac:dyDescent="0.25">
      <c r="A45" s="23" t="s">
        <v>531</v>
      </c>
    </row>
    <row r="46" spans="1:1" x14ac:dyDescent="0.25">
      <c r="A46" s="23" t="s">
        <v>532</v>
      </c>
    </row>
    <row r="47" spans="1:1" x14ac:dyDescent="0.25">
      <c r="A47" s="23" t="s">
        <v>533</v>
      </c>
    </row>
    <row r="48" spans="1:1" x14ac:dyDescent="0.25">
      <c r="A48" s="23" t="s">
        <v>534</v>
      </c>
    </row>
    <row r="49" spans="1:1" x14ac:dyDescent="0.25">
      <c r="A49" s="23" t="s">
        <v>535</v>
      </c>
    </row>
    <row r="50" spans="1:1" x14ac:dyDescent="0.25">
      <c r="A50" s="23" t="s">
        <v>102</v>
      </c>
    </row>
    <row r="51" spans="1:1" x14ac:dyDescent="0.25">
      <c r="A51" s="23" t="s">
        <v>536</v>
      </c>
    </row>
    <row r="52" spans="1:1" x14ac:dyDescent="0.25">
      <c r="A52" s="23" t="s">
        <v>537</v>
      </c>
    </row>
    <row r="53" spans="1:1" x14ac:dyDescent="0.25">
      <c r="A53" s="23" t="s">
        <v>538</v>
      </c>
    </row>
    <row r="54" spans="1:1" x14ac:dyDescent="0.25">
      <c r="A54" s="23" t="s">
        <v>539</v>
      </c>
    </row>
    <row r="55" spans="1:1" x14ac:dyDescent="0.25">
      <c r="A55" s="23" t="s">
        <v>540</v>
      </c>
    </row>
    <row r="56" spans="1:1" x14ac:dyDescent="0.25">
      <c r="A56" s="23" t="s">
        <v>541</v>
      </c>
    </row>
    <row r="57" spans="1:1" x14ac:dyDescent="0.25">
      <c r="A57" s="23" t="s">
        <v>103</v>
      </c>
    </row>
    <row r="58" spans="1:1" x14ac:dyDescent="0.25">
      <c r="A58" s="23" t="s">
        <v>542</v>
      </c>
    </row>
    <row r="59" spans="1:1" x14ac:dyDescent="0.25">
      <c r="A59" s="23" t="s">
        <v>543</v>
      </c>
    </row>
    <row r="60" spans="1:1" x14ac:dyDescent="0.25">
      <c r="A60" s="23" t="s">
        <v>544</v>
      </c>
    </row>
    <row r="61" spans="1:1" x14ac:dyDescent="0.25">
      <c r="A61" s="23" t="s">
        <v>545</v>
      </c>
    </row>
    <row r="62" spans="1:1" x14ac:dyDescent="0.25">
      <c r="A62" s="23" t="s">
        <v>546</v>
      </c>
    </row>
    <row r="63" spans="1:1" x14ac:dyDescent="0.25">
      <c r="A63" s="23" t="s">
        <v>547</v>
      </c>
    </row>
    <row r="64" spans="1:1" x14ac:dyDescent="0.25">
      <c r="A64" s="23" t="s">
        <v>104</v>
      </c>
    </row>
    <row r="65" spans="1:1" x14ac:dyDescent="0.25">
      <c r="A65" s="23" t="s">
        <v>548</v>
      </c>
    </row>
    <row r="66" spans="1:1" x14ac:dyDescent="0.25">
      <c r="A66" s="23" t="s">
        <v>549</v>
      </c>
    </row>
    <row r="67" spans="1:1" x14ac:dyDescent="0.25">
      <c r="A67" s="23" t="s">
        <v>550</v>
      </c>
    </row>
    <row r="68" spans="1:1" x14ac:dyDescent="0.25">
      <c r="A68" s="23" t="s">
        <v>551</v>
      </c>
    </row>
    <row r="69" spans="1:1" x14ac:dyDescent="0.25">
      <c r="A69" s="23" t="s">
        <v>552</v>
      </c>
    </row>
    <row r="70" spans="1:1" x14ac:dyDescent="0.25">
      <c r="A70" s="23" t="s">
        <v>553</v>
      </c>
    </row>
    <row r="71" spans="1:1" x14ac:dyDescent="0.25">
      <c r="A71" s="23" t="s">
        <v>105</v>
      </c>
    </row>
    <row r="72" spans="1:1" x14ac:dyDescent="0.25">
      <c r="A72" s="23" t="s">
        <v>554</v>
      </c>
    </row>
    <row r="73" spans="1:1" x14ac:dyDescent="0.25">
      <c r="A73" s="23" t="s">
        <v>555</v>
      </c>
    </row>
    <row r="74" spans="1:1" x14ac:dyDescent="0.25">
      <c r="A74" s="23" t="s">
        <v>556</v>
      </c>
    </row>
    <row r="75" spans="1:1" x14ac:dyDescent="0.25">
      <c r="A75" s="23" t="s">
        <v>557</v>
      </c>
    </row>
    <row r="76" spans="1:1" x14ac:dyDescent="0.25">
      <c r="A76" s="23" t="s">
        <v>558</v>
      </c>
    </row>
    <row r="77" spans="1:1" x14ac:dyDescent="0.25">
      <c r="A77" s="23" t="s">
        <v>559</v>
      </c>
    </row>
    <row r="78" spans="1:1" x14ac:dyDescent="0.25">
      <c r="A78" s="23" t="s">
        <v>106</v>
      </c>
    </row>
    <row r="79" spans="1:1" x14ac:dyDescent="0.25">
      <c r="A79" s="23" t="s">
        <v>560</v>
      </c>
    </row>
    <row r="80" spans="1:1" x14ac:dyDescent="0.25">
      <c r="A80" s="23" t="s">
        <v>561</v>
      </c>
    </row>
    <row r="81" spans="1:1" x14ac:dyDescent="0.25">
      <c r="A81" s="23" t="s">
        <v>562</v>
      </c>
    </row>
    <row r="82" spans="1:1" x14ac:dyDescent="0.25">
      <c r="A82" s="23" t="s">
        <v>563</v>
      </c>
    </row>
    <row r="83" spans="1:1" x14ac:dyDescent="0.25">
      <c r="A83" s="23" t="s">
        <v>564</v>
      </c>
    </row>
    <row r="84" spans="1:1" x14ac:dyDescent="0.25">
      <c r="A84" s="23" t="s">
        <v>565</v>
      </c>
    </row>
    <row r="85" spans="1:1" x14ac:dyDescent="0.25">
      <c r="A85" s="23" t="s">
        <v>107</v>
      </c>
    </row>
    <row r="86" spans="1:1" x14ac:dyDescent="0.25">
      <c r="A86" s="23" t="s">
        <v>566</v>
      </c>
    </row>
    <row r="87" spans="1:1" x14ac:dyDescent="0.25">
      <c r="A87" s="23" t="s">
        <v>567</v>
      </c>
    </row>
    <row r="88" spans="1:1" x14ac:dyDescent="0.25">
      <c r="A88" s="23" t="s">
        <v>568</v>
      </c>
    </row>
    <row r="89" spans="1:1" x14ac:dyDescent="0.25">
      <c r="A89" s="23" t="s">
        <v>569</v>
      </c>
    </row>
    <row r="90" spans="1:1" x14ac:dyDescent="0.25">
      <c r="A90" s="23" t="s">
        <v>570</v>
      </c>
    </row>
    <row r="91" spans="1:1" x14ac:dyDescent="0.25">
      <c r="A91" s="23" t="s">
        <v>571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BE435-5289-49ED-996B-F496E0883CCA}">
  <sheetPr codeName="Sheet17"/>
  <dimension ref="A1:I91"/>
  <sheetViews>
    <sheetView workbookViewId="0"/>
  </sheetViews>
  <sheetFormatPr defaultRowHeight="15" x14ac:dyDescent="0.25"/>
  <sheetData>
    <row r="1" spans="1:9" x14ac:dyDescent="0.25">
      <c r="A1" s="2" t="s">
        <v>90</v>
      </c>
    </row>
    <row r="3" spans="1:9" x14ac:dyDescent="0.25">
      <c r="A3" s="23" t="s">
        <v>180</v>
      </c>
    </row>
    <row r="4" spans="1:9" x14ac:dyDescent="0.25">
      <c r="A4" s="23" t="s">
        <v>181</v>
      </c>
    </row>
    <row r="5" spans="1:9" x14ac:dyDescent="0.25">
      <c r="A5" s="23" t="s">
        <v>499</v>
      </c>
    </row>
    <row r="6" spans="1:9" x14ac:dyDescent="0.25">
      <c r="A6" s="23" t="s">
        <v>94</v>
      </c>
    </row>
    <row r="7" spans="1:9" x14ac:dyDescent="0.25">
      <c r="A7" s="23" t="s">
        <v>95</v>
      </c>
    </row>
    <row r="8" spans="1:9" x14ac:dyDescent="0.25">
      <c r="A8" s="23" t="s">
        <v>96</v>
      </c>
    </row>
    <row r="9" spans="1:9" x14ac:dyDescent="0.25">
      <c r="A9" s="23" t="s">
        <v>479</v>
      </c>
      <c r="B9" t="s">
        <v>15</v>
      </c>
      <c r="C9" t="s">
        <v>480</v>
      </c>
      <c r="D9" t="s">
        <v>491</v>
      </c>
      <c r="E9">
        <v>0.51205936920222594</v>
      </c>
      <c r="F9" t="s">
        <v>482</v>
      </c>
      <c r="G9">
        <v>0.47018739352640498</v>
      </c>
      <c r="H9" t="s">
        <v>483</v>
      </c>
      <c r="I9">
        <v>0.49023090586145601</v>
      </c>
    </row>
    <row r="10" spans="1:9" x14ac:dyDescent="0.25">
      <c r="A10" s="23" t="s">
        <v>479</v>
      </c>
      <c r="B10" t="s">
        <v>15</v>
      </c>
      <c r="C10" t="s">
        <v>480</v>
      </c>
      <c r="D10" t="s">
        <v>492</v>
      </c>
      <c r="E10">
        <v>0.53971486761710796</v>
      </c>
      <c r="F10" t="s">
        <v>482</v>
      </c>
      <c r="G10">
        <v>0.41732283464566899</v>
      </c>
      <c r="H10" t="s">
        <v>483</v>
      </c>
      <c r="I10">
        <v>0.47069271758436898</v>
      </c>
    </row>
    <row r="11" spans="1:9" x14ac:dyDescent="0.25">
      <c r="A11" s="23" t="s">
        <v>479</v>
      </c>
      <c r="B11" t="s">
        <v>15</v>
      </c>
      <c r="C11" t="s">
        <v>480</v>
      </c>
      <c r="D11" t="s">
        <v>493</v>
      </c>
      <c r="E11">
        <v>0.62041467304625197</v>
      </c>
      <c r="F11" t="s">
        <v>482</v>
      </c>
      <c r="G11">
        <v>0.59389312977099196</v>
      </c>
      <c r="H11" t="s">
        <v>483</v>
      </c>
      <c r="I11">
        <v>0.60686427457098202</v>
      </c>
    </row>
    <row r="12" spans="1:9" x14ac:dyDescent="0.25">
      <c r="A12" s="23" t="s">
        <v>479</v>
      </c>
      <c r="B12" t="s">
        <v>15</v>
      </c>
      <c r="C12" t="s">
        <v>480</v>
      </c>
      <c r="D12" t="s">
        <v>494</v>
      </c>
      <c r="E12">
        <v>0.68875502008032097</v>
      </c>
      <c r="F12" t="s">
        <v>482</v>
      </c>
      <c r="G12">
        <v>0.49352517985611499</v>
      </c>
      <c r="H12" t="s">
        <v>483</v>
      </c>
      <c r="I12">
        <v>0.57502095557418198</v>
      </c>
    </row>
    <row r="13" spans="1:9" x14ac:dyDescent="0.25">
      <c r="A13" s="23" t="s">
        <v>479</v>
      </c>
      <c r="B13" t="s">
        <v>15</v>
      </c>
      <c r="C13" t="s">
        <v>480</v>
      </c>
      <c r="D13" t="s">
        <v>495</v>
      </c>
      <c r="E13">
        <v>0.69672131147540906</v>
      </c>
      <c r="F13" t="s">
        <v>482</v>
      </c>
      <c r="G13">
        <v>0.63829787234042501</v>
      </c>
      <c r="H13" t="s">
        <v>483</v>
      </c>
      <c r="I13">
        <v>0.66623122142390501</v>
      </c>
    </row>
    <row r="14" spans="1:9" x14ac:dyDescent="0.25">
      <c r="A14" s="23" t="s">
        <v>479</v>
      </c>
      <c r="B14" t="s">
        <v>15</v>
      </c>
      <c r="C14" t="s">
        <v>480</v>
      </c>
      <c r="D14" t="s">
        <v>496</v>
      </c>
      <c r="E14">
        <v>0.75033200531208499</v>
      </c>
      <c r="F14" t="s">
        <v>482</v>
      </c>
      <c r="G14">
        <v>0.85866261398176202</v>
      </c>
      <c r="H14" t="s">
        <v>483</v>
      </c>
      <c r="I14">
        <v>0.80085046066619403</v>
      </c>
    </row>
    <row r="15" spans="1:9" x14ac:dyDescent="0.25">
      <c r="A15" s="23" t="s">
        <v>97</v>
      </c>
    </row>
    <row r="16" spans="1:9" x14ac:dyDescent="0.25">
      <c r="A16" s="23" t="s">
        <v>479</v>
      </c>
      <c r="B16" t="s">
        <v>27</v>
      </c>
      <c r="C16" t="s">
        <v>480</v>
      </c>
      <c r="D16" t="s">
        <v>491</v>
      </c>
      <c r="E16">
        <v>0.51943462897526504</v>
      </c>
      <c r="F16" t="s">
        <v>482</v>
      </c>
      <c r="G16">
        <v>0.480392156862745</v>
      </c>
      <c r="H16" t="s">
        <v>483</v>
      </c>
      <c r="I16">
        <v>0.49915110356536502</v>
      </c>
    </row>
    <row r="17" spans="1:9" x14ac:dyDescent="0.25">
      <c r="A17" s="23" t="s">
        <v>479</v>
      </c>
      <c r="B17" t="s">
        <v>27</v>
      </c>
      <c r="C17" t="s">
        <v>480</v>
      </c>
      <c r="D17" t="s">
        <v>492</v>
      </c>
      <c r="E17">
        <v>0.57649253731343197</v>
      </c>
      <c r="F17" t="s">
        <v>482</v>
      </c>
      <c r="G17">
        <v>0.46119402985074598</v>
      </c>
      <c r="H17" t="s">
        <v>483</v>
      </c>
      <c r="I17">
        <v>0.51243781094527296</v>
      </c>
    </row>
    <row r="18" spans="1:9" x14ac:dyDescent="0.25">
      <c r="A18" s="23" t="s">
        <v>479</v>
      </c>
      <c r="B18" t="s">
        <v>27</v>
      </c>
      <c r="C18" t="s">
        <v>480</v>
      </c>
      <c r="D18" t="s">
        <v>493</v>
      </c>
      <c r="E18">
        <v>0.58739837398373895</v>
      </c>
      <c r="F18" t="s">
        <v>482</v>
      </c>
      <c r="G18">
        <v>0.42066957787481801</v>
      </c>
      <c r="H18" t="s">
        <v>483</v>
      </c>
      <c r="I18">
        <v>0.49024597116200103</v>
      </c>
    </row>
    <row r="19" spans="1:9" x14ac:dyDescent="0.25">
      <c r="A19" s="23" t="s">
        <v>479</v>
      </c>
      <c r="B19" t="s">
        <v>27</v>
      </c>
      <c r="C19" t="s">
        <v>480</v>
      </c>
      <c r="D19" t="s">
        <v>494</v>
      </c>
      <c r="E19">
        <v>0.63008130081300795</v>
      </c>
      <c r="F19" t="s">
        <v>482</v>
      </c>
      <c r="G19">
        <v>0.412782956058588</v>
      </c>
      <c r="H19" t="s">
        <v>483</v>
      </c>
      <c r="I19">
        <v>0.49879324215607401</v>
      </c>
    </row>
    <row r="20" spans="1:9" x14ac:dyDescent="0.25">
      <c r="A20" s="23" t="s">
        <v>479</v>
      </c>
      <c r="B20" t="s">
        <v>27</v>
      </c>
      <c r="C20" t="s">
        <v>480</v>
      </c>
      <c r="D20" t="s">
        <v>495</v>
      </c>
      <c r="E20">
        <v>0.70972886762360399</v>
      </c>
      <c r="F20" t="s">
        <v>482</v>
      </c>
      <c r="G20">
        <v>0.59651474530831095</v>
      </c>
      <c r="H20" t="s">
        <v>483</v>
      </c>
      <c r="I20">
        <v>0.64821558630735598</v>
      </c>
    </row>
    <row r="21" spans="1:9" x14ac:dyDescent="0.25">
      <c r="A21" s="23" t="s">
        <v>479</v>
      </c>
      <c r="B21" t="s">
        <v>27</v>
      </c>
      <c r="C21" t="s">
        <v>480</v>
      </c>
      <c r="D21" t="s">
        <v>496</v>
      </c>
      <c r="E21">
        <v>0.86956521739130399</v>
      </c>
      <c r="F21" t="s">
        <v>482</v>
      </c>
      <c r="G21">
        <v>0.67164179104477595</v>
      </c>
      <c r="H21" t="s">
        <v>483</v>
      </c>
      <c r="I21">
        <v>0.75789473684210495</v>
      </c>
    </row>
    <row r="22" spans="1:9" x14ac:dyDescent="0.25">
      <c r="A22" s="23" t="s">
        <v>98</v>
      </c>
    </row>
    <row r="23" spans="1:9" x14ac:dyDescent="0.25">
      <c r="A23" s="23" t="s">
        <v>479</v>
      </c>
      <c r="B23" t="s">
        <v>28</v>
      </c>
      <c r="C23" t="s">
        <v>480</v>
      </c>
      <c r="D23" t="s">
        <v>491</v>
      </c>
      <c r="E23">
        <v>0.52652259332023499</v>
      </c>
      <c r="F23" t="s">
        <v>482</v>
      </c>
      <c r="G23">
        <v>0.45890410958904099</v>
      </c>
      <c r="H23" t="s">
        <v>483</v>
      </c>
      <c r="I23">
        <v>0.4903934126258</v>
      </c>
    </row>
    <row r="24" spans="1:9" x14ac:dyDescent="0.25">
      <c r="A24" s="23" t="s">
        <v>479</v>
      </c>
      <c r="B24" t="s">
        <v>28</v>
      </c>
      <c r="C24" t="s">
        <v>480</v>
      </c>
      <c r="D24" t="s">
        <v>492</v>
      </c>
      <c r="E24">
        <v>0.6</v>
      </c>
      <c r="F24" t="s">
        <v>482</v>
      </c>
      <c r="G24">
        <v>0.42386185243328101</v>
      </c>
      <c r="H24" t="s">
        <v>483</v>
      </c>
      <c r="I24">
        <v>0.49678012879484801</v>
      </c>
    </row>
    <row r="25" spans="1:9" x14ac:dyDescent="0.25">
      <c r="A25" s="23" t="s">
        <v>479</v>
      </c>
      <c r="B25" t="s">
        <v>28</v>
      </c>
      <c r="C25" t="s">
        <v>480</v>
      </c>
      <c r="D25" t="s">
        <v>493</v>
      </c>
      <c r="E25">
        <v>0.49713193116634802</v>
      </c>
      <c r="F25" t="s">
        <v>482</v>
      </c>
      <c r="G25">
        <v>0.41533546325878501</v>
      </c>
      <c r="H25" t="s">
        <v>483</v>
      </c>
      <c r="I25">
        <v>0.45256744995648301</v>
      </c>
    </row>
    <row r="26" spans="1:9" x14ac:dyDescent="0.25">
      <c r="A26" s="23" t="s">
        <v>479</v>
      </c>
      <c r="B26" t="s">
        <v>28</v>
      </c>
      <c r="C26" t="s">
        <v>480</v>
      </c>
      <c r="D26" t="s">
        <v>494</v>
      </c>
      <c r="E26">
        <v>0.59217877094972005</v>
      </c>
      <c r="F26" t="s">
        <v>482</v>
      </c>
      <c r="G26">
        <v>0.503164556962025</v>
      </c>
      <c r="H26" t="s">
        <v>483</v>
      </c>
      <c r="I26">
        <v>0.54405474764756201</v>
      </c>
    </row>
    <row r="27" spans="1:9" x14ac:dyDescent="0.25">
      <c r="A27" s="23" t="s">
        <v>479</v>
      </c>
      <c r="B27" t="s">
        <v>28</v>
      </c>
      <c r="C27" t="s">
        <v>480</v>
      </c>
      <c r="D27" t="s">
        <v>495</v>
      </c>
      <c r="E27">
        <v>0.62350936967631998</v>
      </c>
      <c r="F27" t="s">
        <v>482</v>
      </c>
      <c r="G27">
        <v>0.52510760401721601</v>
      </c>
      <c r="H27" t="s">
        <v>483</v>
      </c>
      <c r="I27">
        <v>0.57009345794392496</v>
      </c>
    </row>
    <row r="28" spans="1:9" x14ac:dyDescent="0.25">
      <c r="A28" s="23" t="s">
        <v>479</v>
      </c>
      <c r="B28" t="s">
        <v>28</v>
      </c>
      <c r="C28" t="s">
        <v>480</v>
      </c>
      <c r="D28" t="s">
        <v>496</v>
      </c>
      <c r="E28">
        <v>0.84388807069219396</v>
      </c>
      <c r="F28" t="s">
        <v>482</v>
      </c>
      <c r="G28">
        <v>0.76502002670226898</v>
      </c>
      <c r="H28" t="s">
        <v>483</v>
      </c>
      <c r="I28">
        <v>0.80252100840336105</v>
      </c>
    </row>
    <row r="29" spans="1:9" x14ac:dyDescent="0.25">
      <c r="A29" s="23" t="s">
        <v>99</v>
      </c>
    </row>
    <row r="30" spans="1:9" x14ac:dyDescent="0.25">
      <c r="A30" s="23" t="s">
        <v>479</v>
      </c>
      <c r="B30" t="s">
        <v>29</v>
      </c>
      <c r="C30" t="s">
        <v>480</v>
      </c>
      <c r="D30" t="s">
        <v>491</v>
      </c>
      <c r="E30">
        <v>0.46625766871165603</v>
      </c>
      <c r="F30" t="s">
        <v>482</v>
      </c>
      <c r="G30">
        <v>0.55677655677655602</v>
      </c>
      <c r="H30" t="s">
        <v>483</v>
      </c>
      <c r="I30">
        <v>0.50751252086811305</v>
      </c>
    </row>
    <row r="31" spans="1:9" x14ac:dyDescent="0.25">
      <c r="A31" s="23" t="s">
        <v>479</v>
      </c>
      <c r="B31" t="s">
        <v>29</v>
      </c>
      <c r="C31" t="s">
        <v>480</v>
      </c>
      <c r="D31" t="s">
        <v>492</v>
      </c>
      <c r="E31">
        <v>0.42723004694835598</v>
      </c>
      <c r="F31" t="s">
        <v>482</v>
      </c>
      <c r="G31">
        <v>0.34274952919020701</v>
      </c>
      <c r="H31" t="s">
        <v>483</v>
      </c>
      <c r="I31">
        <v>0.38035527690700099</v>
      </c>
    </row>
    <row r="32" spans="1:9" x14ac:dyDescent="0.25">
      <c r="A32" s="23" t="s">
        <v>479</v>
      </c>
      <c r="B32" t="s">
        <v>29</v>
      </c>
      <c r="C32" t="s">
        <v>480</v>
      </c>
      <c r="D32" t="s">
        <v>493</v>
      </c>
      <c r="E32">
        <v>0.44427001569858698</v>
      </c>
      <c r="F32" t="s">
        <v>482</v>
      </c>
      <c r="G32">
        <v>0.55165692007797196</v>
      </c>
      <c r="H32" t="s">
        <v>483</v>
      </c>
      <c r="I32">
        <v>0.49217391304347802</v>
      </c>
    </row>
    <row r="33" spans="1:9" x14ac:dyDescent="0.25">
      <c r="A33" s="23" t="s">
        <v>479</v>
      </c>
      <c r="B33" t="s">
        <v>29</v>
      </c>
      <c r="C33" t="s">
        <v>480</v>
      </c>
      <c r="D33" t="s">
        <v>494</v>
      </c>
      <c r="E33">
        <v>0.47368421052631499</v>
      </c>
      <c r="F33" t="s">
        <v>482</v>
      </c>
      <c r="G33">
        <v>0.565815324165029</v>
      </c>
      <c r="H33" t="s">
        <v>483</v>
      </c>
      <c r="I33">
        <v>0.51566696508504895</v>
      </c>
    </row>
    <row r="34" spans="1:9" x14ac:dyDescent="0.25">
      <c r="A34" s="23" t="s">
        <v>479</v>
      </c>
      <c r="B34" t="s">
        <v>29</v>
      </c>
      <c r="C34" t="s">
        <v>480</v>
      </c>
      <c r="D34" t="s">
        <v>495</v>
      </c>
      <c r="E34">
        <v>0.51333333333333298</v>
      </c>
      <c r="F34" t="s">
        <v>482</v>
      </c>
      <c r="G34">
        <v>0.84615384615384603</v>
      </c>
      <c r="H34" t="s">
        <v>483</v>
      </c>
      <c r="I34">
        <v>0.63900414937759298</v>
      </c>
    </row>
    <row r="35" spans="1:9" x14ac:dyDescent="0.25">
      <c r="A35" s="23" t="s">
        <v>479</v>
      </c>
      <c r="B35" t="s">
        <v>29</v>
      </c>
      <c r="C35" t="s">
        <v>480</v>
      </c>
      <c r="D35" t="s">
        <v>496</v>
      </c>
      <c r="E35">
        <v>0.49402390438247001</v>
      </c>
      <c r="F35" t="s">
        <v>482</v>
      </c>
      <c r="G35">
        <v>0.517745302713987</v>
      </c>
      <c r="H35" t="s">
        <v>483</v>
      </c>
      <c r="I35">
        <v>0.50560652395514705</v>
      </c>
    </row>
    <row r="36" spans="1:9" x14ac:dyDescent="0.25">
      <c r="A36" s="23" t="s">
        <v>100</v>
      </c>
    </row>
    <row r="37" spans="1:9" x14ac:dyDescent="0.25">
      <c r="A37" s="23" t="s">
        <v>479</v>
      </c>
      <c r="B37" t="s">
        <v>30</v>
      </c>
      <c r="C37" t="s">
        <v>480</v>
      </c>
      <c r="D37" t="s">
        <v>491</v>
      </c>
      <c r="E37">
        <v>0.56576200417536504</v>
      </c>
      <c r="F37" t="s">
        <v>482</v>
      </c>
      <c r="G37">
        <v>0.45469798657718102</v>
      </c>
      <c r="H37" t="s">
        <v>483</v>
      </c>
      <c r="I37">
        <v>0.50418604651162702</v>
      </c>
    </row>
    <row r="38" spans="1:9" x14ac:dyDescent="0.25">
      <c r="A38" s="23" t="s">
        <v>479</v>
      </c>
      <c r="B38" t="s">
        <v>30</v>
      </c>
      <c r="C38" t="s">
        <v>480</v>
      </c>
      <c r="D38" t="s">
        <v>492</v>
      </c>
      <c r="E38">
        <v>0.58184764991896198</v>
      </c>
      <c r="F38" t="s">
        <v>482</v>
      </c>
      <c r="G38">
        <v>0.56357927786499196</v>
      </c>
      <c r="H38" t="s">
        <v>483</v>
      </c>
      <c r="I38">
        <v>0.57256778309409795</v>
      </c>
    </row>
    <row r="39" spans="1:9" x14ac:dyDescent="0.25">
      <c r="A39" s="23" t="s">
        <v>479</v>
      </c>
      <c r="B39" t="s">
        <v>30</v>
      </c>
      <c r="C39" t="s">
        <v>480</v>
      </c>
      <c r="D39" t="s">
        <v>493</v>
      </c>
      <c r="E39">
        <v>0.54915730337078605</v>
      </c>
      <c r="F39" t="s">
        <v>482</v>
      </c>
      <c r="G39">
        <v>0.595129375951293</v>
      </c>
      <c r="H39" t="s">
        <v>483</v>
      </c>
      <c r="I39">
        <v>0.571219868517165</v>
      </c>
    </row>
    <row r="40" spans="1:9" x14ac:dyDescent="0.25">
      <c r="A40" s="23" t="s">
        <v>479</v>
      </c>
      <c r="B40" t="s">
        <v>30</v>
      </c>
      <c r="C40" t="s">
        <v>480</v>
      </c>
      <c r="D40" t="s">
        <v>494</v>
      </c>
      <c r="E40">
        <v>0.64746945898778296</v>
      </c>
      <c r="F40" t="s">
        <v>482</v>
      </c>
      <c r="G40">
        <v>0.53924418604651103</v>
      </c>
      <c r="H40" t="s">
        <v>483</v>
      </c>
      <c r="I40">
        <v>0.58842188739095902</v>
      </c>
    </row>
    <row r="41" spans="1:9" x14ac:dyDescent="0.25">
      <c r="A41" s="23" t="s">
        <v>479</v>
      </c>
      <c r="B41" t="s">
        <v>30</v>
      </c>
      <c r="C41" t="s">
        <v>480</v>
      </c>
      <c r="D41" t="s">
        <v>495</v>
      </c>
      <c r="E41">
        <v>0.71806167400881005</v>
      </c>
      <c r="F41" t="s">
        <v>482</v>
      </c>
      <c r="G41">
        <v>0.67170329670329598</v>
      </c>
      <c r="H41" t="s">
        <v>483</v>
      </c>
      <c r="I41">
        <v>0.69410929737402405</v>
      </c>
    </row>
    <row r="42" spans="1:9" x14ac:dyDescent="0.25">
      <c r="A42" s="23" t="s">
        <v>479</v>
      </c>
      <c r="B42" t="s">
        <v>30</v>
      </c>
      <c r="C42" t="s">
        <v>480</v>
      </c>
      <c r="D42" t="s">
        <v>496</v>
      </c>
      <c r="E42">
        <v>0.92788461538461497</v>
      </c>
      <c r="F42" t="s">
        <v>482</v>
      </c>
      <c r="G42">
        <v>0.76184210526315699</v>
      </c>
      <c r="H42" t="s">
        <v>483</v>
      </c>
      <c r="I42">
        <v>0.83670520231213796</v>
      </c>
    </row>
    <row r="43" spans="1:9" x14ac:dyDescent="0.25">
      <c r="A43" s="23" t="s">
        <v>101</v>
      </c>
    </row>
    <row r="44" spans="1:9" x14ac:dyDescent="0.25">
      <c r="A44" s="23" t="s">
        <v>479</v>
      </c>
      <c r="B44" t="s">
        <v>31</v>
      </c>
      <c r="C44" t="s">
        <v>480</v>
      </c>
      <c r="D44" t="s">
        <v>491</v>
      </c>
      <c r="E44">
        <v>0.47360000000000002</v>
      </c>
      <c r="F44" t="s">
        <v>482</v>
      </c>
      <c r="G44">
        <v>0.52204585537918802</v>
      </c>
      <c r="H44" t="s">
        <v>483</v>
      </c>
      <c r="I44">
        <v>0.49664429530201298</v>
      </c>
    </row>
    <row r="45" spans="1:9" x14ac:dyDescent="0.25">
      <c r="A45" s="23" t="s">
        <v>479</v>
      </c>
      <c r="B45" t="s">
        <v>31</v>
      </c>
      <c r="C45" t="s">
        <v>480</v>
      </c>
      <c r="D45" t="s">
        <v>492</v>
      </c>
      <c r="E45">
        <v>0.47877758913412499</v>
      </c>
      <c r="F45" t="s">
        <v>482</v>
      </c>
      <c r="G45">
        <v>0.49128919860627102</v>
      </c>
      <c r="H45" t="s">
        <v>483</v>
      </c>
      <c r="I45">
        <v>0.48495270851246702</v>
      </c>
    </row>
    <row r="46" spans="1:9" x14ac:dyDescent="0.25">
      <c r="A46" s="23" t="s">
        <v>479</v>
      </c>
      <c r="B46" t="s">
        <v>31</v>
      </c>
      <c r="C46" t="s">
        <v>480</v>
      </c>
      <c r="D46" t="s">
        <v>493</v>
      </c>
      <c r="E46">
        <v>0.50860719874804305</v>
      </c>
      <c r="F46" t="s">
        <v>482</v>
      </c>
      <c r="G46">
        <v>0.55938037865748702</v>
      </c>
      <c r="H46" t="s">
        <v>483</v>
      </c>
      <c r="I46">
        <v>0.53278688524590101</v>
      </c>
    </row>
    <row r="47" spans="1:9" x14ac:dyDescent="0.25">
      <c r="A47" s="23" t="s">
        <v>479</v>
      </c>
      <c r="B47" t="s">
        <v>31</v>
      </c>
      <c r="C47" t="s">
        <v>480</v>
      </c>
      <c r="D47" t="s">
        <v>494</v>
      </c>
      <c r="E47">
        <v>0.42771084337349302</v>
      </c>
      <c r="F47" t="s">
        <v>482</v>
      </c>
      <c r="G47">
        <v>0.49563699825479901</v>
      </c>
      <c r="H47" t="s">
        <v>483</v>
      </c>
      <c r="I47">
        <v>0.45917542441390402</v>
      </c>
    </row>
    <row r="48" spans="1:9" x14ac:dyDescent="0.25">
      <c r="A48" s="23" t="s">
        <v>479</v>
      </c>
      <c r="B48" t="s">
        <v>31</v>
      </c>
      <c r="C48" t="s">
        <v>480</v>
      </c>
      <c r="D48" t="s">
        <v>495</v>
      </c>
      <c r="E48">
        <v>0.58797653958944196</v>
      </c>
      <c r="F48" t="s">
        <v>482</v>
      </c>
      <c r="G48">
        <v>0.69982547993019195</v>
      </c>
      <c r="H48" t="s">
        <v>483</v>
      </c>
      <c r="I48">
        <v>0.63904382470119503</v>
      </c>
    </row>
    <row r="49" spans="1:9" x14ac:dyDescent="0.25">
      <c r="A49" s="23" t="s">
        <v>479</v>
      </c>
      <c r="B49" t="s">
        <v>31</v>
      </c>
      <c r="C49" t="s">
        <v>480</v>
      </c>
      <c r="D49" t="s">
        <v>496</v>
      </c>
      <c r="E49">
        <v>0.452229299363057</v>
      </c>
      <c r="F49" t="s">
        <v>482</v>
      </c>
      <c r="G49">
        <v>0.70529801324503305</v>
      </c>
      <c r="H49" t="s">
        <v>483</v>
      </c>
      <c r="I49">
        <v>0.551099611901681</v>
      </c>
    </row>
    <row r="50" spans="1:9" x14ac:dyDescent="0.25">
      <c r="A50" s="23" t="s">
        <v>102</v>
      </c>
    </row>
    <row r="51" spans="1:9" x14ac:dyDescent="0.25">
      <c r="A51" s="23" t="s">
        <v>479</v>
      </c>
      <c r="B51" t="s">
        <v>32</v>
      </c>
      <c r="C51" t="s">
        <v>480</v>
      </c>
      <c r="D51" t="s">
        <v>491</v>
      </c>
      <c r="E51">
        <v>0.50264550264550201</v>
      </c>
      <c r="F51" t="s">
        <v>482</v>
      </c>
      <c r="G51">
        <v>0.503533568904593</v>
      </c>
      <c r="H51" t="s">
        <v>483</v>
      </c>
      <c r="I51">
        <v>0.50308914386584203</v>
      </c>
    </row>
    <row r="52" spans="1:9" x14ac:dyDescent="0.25">
      <c r="A52" s="23" t="s">
        <v>479</v>
      </c>
      <c r="B52" t="s">
        <v>32</v>
      </c>
      <c r="C52" t="s">
        <v>480</v>
      </c>
      <c r="D52" t="s">
        <v>492</v>
      </c>
      <c r="E52">
        <v>0.50163398692810401</v>
      </c>
      <c r="F52" t="s">
        <v>482</v>
      </c>
      <c r="G52">
        <v>0.55215827338129497</v>
      </c>
      <c r="H52" t="s">
        <v>483</v>
      </c>
      <c r="I52">
        <v>0.52568493150684903</v>
      </c>
    </row>
    <row r="53" spans="1:9" x14ac:dyDescent="0.25">
      <c r="A53" s="23" t="s">
        <v>479</v>
      </c>
      <c r="B53" t="s">
        <v>32</v>
      </c>
      <c r="C53" t="s">
        <v>480</v>
      </c>
      <c r="D53" t="s">
        <v>493</v>
      </c>
      <c r="E53">
        <v>0.49002217294900202</v>
      </c>
      <c r="F53" t="s">
        <v>482</v>
      </c>
      <c r="G53">
        <v>0.410018552875695</v>
      </c>
      <c r="H53" t="s">
        <v>483</v>
      </c>
      <c r="I53">
        <v>0.44646464646464601</v>
      </c>
    </row>
    <row r="54" spans="1:9" x14ac:dyDescent="0.25">
      <c r="A54" s="23" t="s">
        <v>479</v>
      </c>
      <c r="B54" t="s">
        <v>32</v>
      </c>
      <c r="C54" t="s">
        <v>480</v>
      </c>
      <c r="D54" t="s">
        <v>494</v>
      </c>
      <c r="E54">
        <v>0.487623762376237</v>
      </c>
      <c r="F54" t="s">
        <v>482</v>
      </c>
      <c r="G54">
        <v>0.37240075614366702</v>
      </c>
      <c r="H54" t="s">
        <v>483</v>
      </c>
      <c r="I54">
        <v>0.42229367631296799</v>
      </c>
    </row>
    <row r="55" spans="1:9" x14ac:dyDescent="0.25">
      <c r="A55" s="23" t="s">
        <v>479</v>
      </c>
      <c r="B55" t="s">
        <v>32</v>
      </c>
      <c r="C55" t="s">
        <v>480</v>
      </c>
      <c r="D55" t="s">
        <v>495</v>
      </c>
      <c r="E55">
        <v>0.58695652173913004</v>
      </c>
      <c r="F55" t="s">
        <v>482</v>
      </c>
      <c r="G55">
        <v>0.74585635359115998</v>
      </c>
      <c r="H55" t="s">
        <v>483</v>
      </c>
      <c r="I55">
        <v>0.65693430656934304</v>
      </c>
    </row>
    <row r="56" spans="1:9" x14ac:dyDescent="0.25">
      <c r="A56" s="23" t="s">
        <v>479</v>
      </c>
      <c r="B56" t="s">
        <v>32</v>
      </c>
      <c r="C56" t="s">
        <v>480</v>
      </c>
      <c r="D56" t="s">
        <v>496</v>
      </c>
      <c r="E56">
        <v>0.37061403508771901</v>
      </c>
      <c r="F56" t="s">
        <v>482</v>
      </c>
      <c r="G56">
        <v>0.60791366906474797</v>
      </c>
      <c r="H56" t="s">
        <v>483</v>
      </c>
      <c r="I56">
        <v>0.46049046321525799</v>
      </c>
    </row>
    <row r="57" spans="1:9" x14ac:dyDescent="0.25">
      <c r="A57" s="23" t="s">
        <v>103</v>
      </c>
    </row>
    <row r="58" spans="1:9" x14ac:dyDescent="0.25">
      <c r="A58" s="23" t="s">
        <v>479</v>
      </c>
      <c r="B58" t="s">
        <v>489</v>
      </c>
      <c r="C58" t="s">
        <v>480</v>
      </c>
      <c r="D58" t="s">
        <v>491</v>
      </c>
      <c r="E58">
        <v>0.54761904761904701</v>
      </c>
      <c r="F58" t="s">
        <v>482</v>
      </c>
      <c r="G58">
        <v>0.53846153846153799</v>
      </c>
      <c r="H58" t="s">
        <v>483</v>
      </c>
      <c r="I58">
        <v>0.54300168634064006</v>
      </c>
    </row>
    <row r="59" spans="1:9" x14ac:dyDescent="0.25">
      <c r="A59" s="23" t="s">
        <v>479</v>
      </c>
      <c r="B59" t="s">
        <v>489</v>
      </c>
      <c r="C59" t="s">
        <v>480</v>
      </c>
      <c r="D59" t="s">
        <v>492</v>
      </c>
      <c r="E59">
        <v>0.55098934550989298</v>
      </c>
      <c r="F59" t="s">
        <v>482</v>
      </c>
      <c r="G59">
        <v>0.58481421647818999</v>
      </c>
      <c r="H59" t="s">
        <v>483</v>
      </c>
      <c r="I59">
        <v>0.56739811912225702</v>
      </c>
    </row>
    <row r="60" spans="1:9" x14ac:dyDescent="0.25">
      <c r="A60" s="23" t="s">
        <v>479</v>
      </c>
      <c r="B60" t="s">
        <v>489</v>
      </c>
      <c r="C60" t="s">
        <v>480</v>
      </c>
      <c r="D60" t="s">
        <v>493</v>
      </c>
      <c r="E60">
        <v>0.59964726631393295</v>
      </c>
      <c r="F60" t="s">
        <v>482</v>
      </c>
      <c r="G60">
        <v>0.53627760252365897</v>
      </c>
      <c r="H60" t="s">
        <v>483</v>
      </c>
      <c r="I60">
        <v>0.56619483763530298</v>
      </c>
    </row>
    <row r="61" spans="1:9" x14ac:dyDescent="0.25">
      <c r="A61" s="23" t="s">
        <v>479</v>
      </c>
      <c r="B61" t="s">
        <v>489</v>
      </c>
      <c r="C61" t="s">
        <v>480</v>
      </c>
      <c r="D61" t="s">
        <v>494</v>
      </c>
      <c r="E61">
        <v>0.60844529750479803</v>
      </c>
      <c r="F61" t="s">
        <v>482</v>
      </c>
      <c r="G61">
        <v>0.48545176110260302</v>
      </c>
      <c r="H61" t="s">
        <v>483</v>
      </c>
      <c r="I61">
        <v>0.54003407155025496</v>
      </c>
    </row>
    <row r="62" spans="1:9" x14ac:dyDescent="0.25">
      <c r="A62" s="23" t="s">
        <v>479</v>
      </c>
      <c r="B62" t="s">
        <v>489</v>
      </c>
      <c r="C62" t="s">
        <v>480</v>
      </c>
      <c r="D62" t="s">
        <v>495</v>
      </c>
      <c r="E62">
        <v>0.60806451612903201</v>
      </c>
      <c r="F62" t="s">
        <v>482</v>
      </c>
      <c r="G62">
        <v>0.56437125748502903</v>
      </c>
      <c r="H62" t="s">
        <v>483</v>
      </c>
      <c r="I62">
        <v>0.58540372670807395</v>
      </c>
    </row>
    <row r="63" spans="1:9" x14ac:dyDescent="0.25">
      <c r="A63" s="23" t="s">
        <v>479</v>
      </c>
      <c r="B63" t="s">
        <v>489</v>
      </c>
      <c r="C63" t="s">
        <v>480</v>
      </c>
      <c r="D63" t="s">
        <v>496</v>
      </c>
      <c r="E63">
        <v>0.66546329723224995</v>
      </c>
      <c r="F63" t="s">
        <v>482</v>
      </c>
      <c r="G63">
        <v>0.85076923076922994</v>
      </c>
      <c r="H63" t="s">
        <v>483</v>
      </c>
      <c r="I63">
        <v>0.74679270762997896</v>
      </c>
    </row>
    <row r="64" spans="1:9" x14ac:dyDescent="0.25">
      <c r="A64" s="23" t="s">
        <v>104</v>
      </c>
    </row>
    <row r="65" spans="1:9" x14ac:dyDescent="0.25">
      <c r="A65" s="23" t="s">
        <v>479</v>
      </c>
      <c r="B65" t="s">
        <v>34</v>
      </c>
      <c r="C65" t="s">
        <v>480</v>
      </c>
      <c r="D65" t="s">
        <v>491</v>
      </c>
      <c r="E65">
        <v>0.52941176470588203</v>
      </c>
      <c r="F65" t="s">
        <v>482</v>
      </c>
      <c r="G65">
        <v>0.39931740614334399</v>
      </c>
      <c r="H65" t="s">
        <v>483</v>
      </c>
      <c r="I65">
        <v>0.45525291828793701</v>
      </c>
    </row>
    <row r="66" spans="1:9" x14ac:dyDescent="0.25">
      <c r="A66" s="23" t="s">
        <v>479</v>
      </c>
      <c r="B66" t="s">
        <v>34</v>
      </c>
      <c r="C66" t="s">
        <v>480</v>
      </c>
      <c r="D66" t="s">
        <v>492</v>
      </c>
      <c r="E66">
        <v>0.64991896272285199</v>
      </c>
      <c r="F66" t="s">
        <v>482</v>
      </c>
      <c r="G66">
        <v>0.60391566265060204</v>
      </c>
      <c r="H66" t="s">
        <v>483</v>
      </c>
      <c r="I66">
        <v>0.62607338017173997</v>
      </c>
    </row>
    <row r="67" spans="1:9" x14ac:dyDescent="0.25">
      <c r="A67" s="23" t="s">
        <v>479</v>
      </c>
      <c r="B67" t="s">
        <v>34</v>
      </c>
      <c r="C67" t="s">
        <v>480</v>
      </c>
      <c r="D67" t="s">
        <v>493</v>
      </c>
      <c r="E67">
        <v>0.6875</v>
      </c>
      <c r="F67" t="s">
        <v>482</v>
      </c>
      <c r="G67">
        <v>0.44573082489146099</v>
      </c>
      <c r="H67" t="s">
        <v>483</v>
      </c>
      <c r="I67">
        <v>0.54082528533801499</v>
      </c>
    </row>
    <row r="68" spans="1:9" x14ac:dyDescent="0.25">
      <c r="A68" s="23" t="s">
        <v>479</v>
      </c>
      <c r="B68" t="s">
        <v>34</v>
      </c>
      <c r="C68" t="s">
        <v>480</v>
      </c>
      <c r="D68" t="s">
        <v>494</v>
      </c>
      <c r="E68">
        <v>0.79405940594059399</v>
      </c>
      <c r="F68" t="s">
        <v>482</v>
      </c>
      <c r="G68">
        <v>0.53183023872679003</v>
      </c>
      <c r="H68" t="s">
        <v>483</v>
      </c>
      <c r="I68">
        <v>0.63701350277998403</v>
      </c>
    </row>
    <row r="69" spans="1:9" x14ac:dyDescent="0.25">
      <c r="A69" s="23" t="s">
        <v>479</v>
      </c>
      <c r="B69" t="s">
        <v>34</v>
      </c>
      <c r="C69" t="s">
        <v>480</v>
      </c>
      <c r="D69" t="s">
        <v>495</v>
      </c>
      <c r="E69">
        <v>0.78437047756874101</v>
      </c>
      <c r="F69" t="s">
        <v>482</v>
      </c>
      <c r="G69">
        <v>0.63839811542991698</v>
      </c>
      <c r="H69" t="s">
        <v>483</v>
      </c>
      <c r="I69">
        <v>0.70389610389610302</v>
      </c>
    </row>
    <row r="70" spans="1:9" x14ac:dyDescent="0.25">
      <c r="A70" s="23" t="s">
        <v>479</v>
      </c>
      <c r="B70" t="s">
        <v>34</v>
      </c>
      <c r="C70" t="s">
        <v>480</v>
      </c>
      <c r="D70" t="s">
        <v>496</v>
      </c>
      <c r="E70">
        <v>0.95028248587570596</v>
      </c>
      <c r="F70" t="s">
        <v>482</v>
      </c>
      <c r="G70">
        <v>0.991745283018867</v>
      </c>
      <c r="H70" t="s">
        <v>483</v>
      </c>
      <c r="I70">
        <v>0.97057126370455804</v>
      </c>
    </row>
    <row r="71" spans="1:9" x14ac:dyDescent="0.25">
      <c r="A71" s="23" t="s">
        <v>105</v>
      </c>
    </row>
    <row r="72" spans="1:9" x14ac:dyDescent="0.25">
      <c r="A72" s="23" t="s">
        <v>479</v>
      </c>
      <c r="B72" t="s">
        <v>35</v>
      </c>
      <c r="C72" t="s">
        <v>480</v>
      </c>
      <c r="D72" t="s">
        <v>491</v>
      </c>
      <c r="E72">
        <v>0.52380952380952295</v>
      </c>
      <c r="F72" t="s">
        <v>482</v>
      </c>
      <c r="G72">
        <v>0.52566371681415902</v>
      </c>
      <c r="H72" t="s">
        <v>483</v>
      </c>
      <c r="I72">
        <v>0.52473498233215499</v>
      </c>
    </row>
    <row r="73" spans="1:9" x14ac:dyDescent="0.25">
      <c r="A73" s="23" t="s">
        <v>479</v>
      </c>
      <c r="B73" t="s">
        <v>35</v>
      </c>
      <c r="C73" t="s">
        <v>480</v>
      </c>
      <c r="D73" t="s">
        <v>492</v>
      </c>
      <c r="E73">
        <v>0.52631578947368396</v>
      </c>
      <c r="F73" t="s">
        <v>482</v>
      </c>
      <c r="G73">
        <v>0.552763819095477</v>
      </c>
      <c r="H73" t="s">
        <v>483</v>
      </c>
      <c r="I73">
        <v>0.539215686274509</v>
      </c>
    </row>
    <row r="74" spans="1:9" x14ac:dyDescent="0.25">
      <c r="A74" s="23" t="s">
        <v>479</v>
      </c>
      <c r="B74" t="s">
        <v>35</v>
      </c>
      <c r="C74" t="s">
        <v>480</v>
      </c>
      <c r="D74" t="s">
        <v>493</v>
      </c>
      <c r="E74">
        <v>0.53382533825338196</v>
      </c>
      <c r="F74" t="s">
        <v>482</v>
      </c>
      <c r="G74">
        <v>0.744425385934819</v>
      </c>
      <c r="H74" t="s">
        <v>483</v>
      </c>
      <c r="I74">
        <v>0.62177650429799403</v>
      </c>
    </row>
    <row r="75" spans="1:9" x14ac:dyDescent="0.25">
      <c r="A75" s="23" t="s">
        <v>479</v>
      </c>
      <c r="B75" t="s">
        <v>35</v>
      </c>
      <c r="C75" t="s">
        <v>480</v>
      </c>
      <c r="D75" t="s">
        <v>494</v>
      </c>
      <c r="E75">
        <v>0.50567260940032399</v>
      </c>
      <c r="F75" t="s">
        <v>482</v>
      </c>
      <c r="G75">
        <v>0.55319148936170204</v>
      </c>
      <c r="H75" t="s">
        <v>483</v>
      </c>
      <c r="I75">
        <v>0.52836579170194697</v>
      </c>
    </row>
    <row r="76" spans="1:9" x14ac:dyDescent="0.25">
      <c r="A76" s="23" t="s">
        <v>479</v>
      </c>
      <c r="B76" t="s">
        <v>35</v>
      </c>
      <c r="C76" t="s">
        <v>480</v>
      </c>
      <c r="D76" t="s">
        <v>495</v>
      </c>
      <c r="E76">
        <v>0.49348230912476698</v>
      </c>
      <c r="F76" t="s">
        <v>482</v>
      </c>
      <c r="G76">
        <v>0.48892988929889297</v>
      </c>
      <c r="H76" t="s">
        <v>483</v>
      </c>
      <c r="I76">
        <v>0.491195551436515</v>
      </c>
    </row>
    <row r="77" spans="1:9" x14ac:dyDescent="0.25">
      <c r="A77" s="23" t="s">
        <v>479</v>
      </c>
      <c r="B77" t="s">
        <v>35</v>
      </c>
      <c r="C77" t="s">
        <v>480</v>
      </c>
      <c r="D77" t="s">
        <v>496</v>
      </c>
      <c r="E77">
        <v>0.54025044722719096</v>
      </c>
      <c r="F77" t="s">
        <v>482</v>
      </c>
      <c r="G77">
        <v>0.58413926499032798</v>
      </c>
      <c r="H77" t="s">
        <v>483</v>
      </c>
      <c r="I77">
        <v>0.56133828996282498</v>
      </c>
    </row>
    <row r="78" spans="1:9" x14ac:dyDescent="0.25">
      <c r="A78" s="23" t="s">
        <v>106</v>
      </c>
    </row>
    <row r="79" spans="1:9" x14ac:dyDescent="0.25">
      <c r="A79" s="23" t="s">
        <v>479</v>
      </c>
      <c r="B79" t="s">
        <v>36</v>
      </c>
      <c r="C79" t="s">
        <v>480</v>
      </c>
      <c r="D79" t="s">
        <v>491</v>
      </c>
      <c r="E79">
        <v>0.51270553064275004</v>
      </c>
      <c r="F79" t="s">
        <v>482</v>
      </c>
      <c r="G79">
        <v>0.60387323943661897</v>
      </c>
      <c r="H79" t="s">
        <v>483</v>
      </c>
      <c r="I79">
        <v>0.55456750202101801</v>
      </c>
    </row>
    <row r="80" spans="1:9" x14ac:dyDescent="0.25">
      <c r="A80" s="23" t="s">
        <v>479</v>
      </c>
      <c r="B80" t="s">
        <v>36</v>
      </c>
      <c r="C80" t="s">
        <v>480</v>
      </c>
      <c r="D80" t="s">
        <v>492</v>
      </c>
      <c r="E80">
        <v>0.53497942386831199</v>
      </c>
      <c r="F80" t="s">
        <v>482</v>
      </c>
      <c r="G80">
        <v>0.63621533442088096</v>
      </c>
      <c r="H80" t="s">
        <v>483</v>
      </c>
      <c r="I80">
        <v>0.58122205663189197</v>
      </c>
    </row>
    <row r="81" spans="1:9" x14ac:dyDescent="0.25">
      <c r="A81" s="23" t="s">
        <v>479</v>
      </c>
      <c r="B81" t="s">
        <v>36</v>
      </c>
      <c r="C81" t="s">
        <v>480</v>
      </c>
      <c r="D81" t="s">
        <v>493</v>
      </c>
      <c r="E81">
        <v>0.54736842105263095</v>
      </c>
      <c r="F81" t="s">
        <v>482</v>
      </c>
      <c r="G81">
        <v>0.86092715231787997</v>
      </c>
      <c r="H81" t="s">
        <v>483</v>
      </c>
      <c r="I81">
        <v>0.66924066924066905</v>
      </c>
    </row>
    <row r="82" spans="1:9" x14ac:dyDescent="0.25">
      <c r="A82" s="23" t="s">
        <v>479</v>
      </c>
      <c r="B82" t="s">
        <v>36</v>
      </c>
      <c r="C82" t="s">
        <v>480</v>
      </c>
      <c r="D82" t="s">
        <v>494</v>
      </c>
      <c r="E82">
        <v>0.55723270440251504</v>
      </c>
      <c r="F82" t="s">
        <v>482</v>
      </c>
      <c r="G82">
        <v>0.72267536704730795</v>
      </c>
      <c r="H82" t="s">
        <v>483</v>
      </c>
      <c r="I82">
        <v>0.62926136363636298</v>
      </c>
    </row>
    <row r="83" spans="1:9" x14ac:dyDescent="0.25">
      <c r="A83" s="23" t="s">
        <v>479</v>
      </c>
      <c r="B83" t="s">
        <v>36</v>
      </c>
      <c r="C83" t="s">
        <v>480</v>
      </c>
      <c r="D83" t="s">
        <v>495</v>
      </c>
      <c r="E83">
        <v>0.46707503828483898</v>
      </c>
      <c r="F83" t="s">
        <v>482</v>
      </c>
      <c r="G83">
        <v>0.62628336755646796</v>
      </c>
      <c r="H83" t="s">
        <v>483</v>
      </c>
      <c r="I83">
        <v>0.53508771929824495</v>
      </c>
    </row>
    <row r="84" spans="1:9" x14ac:dyDescent="0.25">
      <c r="A84" s="23" t="s">
        <v>479</v>
      </c>
      <c r="B84" t="s">
        <v>36</v>
      </c>
      <c r="C84" t="s">
        <v>480</v>
      </c>
      <c r="D84" t="s">
        <v>496</v>
      </c>
      <c r="E84">
        <v>0.40301724137931</v>
      </c>
      <c r="F84" t="s">
        <v>482</v>
      </c>
      <c r="G84">
        <v>0.82743362831858402</v>
      </c>
      <c r="H84" t="s">
        <v>483</v>
      </c>
      <c r="I84">
        <v>0.54202898550724599</v>
      </c>
    </row>
    <row r="85" spans="1:9" x14ac:dyDescent="0.25">
      <c r="A85" s="23" t="s">
        <v>107</v>
      </c>
    </row>
    <row r="86" spans="1:9" x14ac:dyDescent="0.25">
      <c r="A86" s="23" t="s">
        <v>479</v>
      </c>
      <c r="B86" t="s">
        <v>490</v>
      </c>
      <c r="C86" t="s">
        <v>480</v>
      </c>
      <c r="D86" t="s">
        <v>491</v>
      </c>
      <c r="E86">
        <v>0.51426729002095695</v>
      </c>
      <c r="F86" t="s">
        <v>482</v>
      </c>
      <c r="G86">
        <v>0.50039215686274496</v>
      </c>
      <c r="H86" t="s">
        <v>483</v>
      </c>
      <c r="I86">
        <v>0.50723485450786998</v>
      </c>
    </row>
    <row r="87" spans="1:9" x14ac:dyDescent="0.25">
      <c r="A87" s="23" t="s">
        <v>479</v>
      </c>
      <c r="B87" t="s">
        <v>490</v>
      </c>
      <c r="C87" t="s">
        <v>480</v>
      </c>
      <c r="D87" t="s">
        <v>492</v>
      </c>
      <c r="E87">
        <v>0.54432372854668498</v>
      </c>
      <c r="F87" t="s">
        <v>482</v>
      </c>
      <c r="G87">
        <v>0.51344125946829</v>
      </c>
      <c r="H87" t="s">
        <v>483</v>
      </c>
      <c r="I87">
        <v>0.52843167227147603</v>
      </c>
    </row>
    <row r="88" spans="1:9" x14ac:dyDescent="0.25">
      <c r="A88" s="23" t="s">
        <v>479</v>
      </c>
      <c r="B88" t="s">
        <v>490</v>
      </c>
      <c r="C88" t="s">
        <v>480</v>
      </c>
      <c r="D88" t="s">
        <v>493</v>
      </c>
      <c r="E88">
        <v>0.54818486659862897</v>
      </c>
      <c r="F88" t="s">
        <v>482</v>
      </c>
      <c r="G88">
        <v>0.55539143279172798</v>
      </c>
      <c r="H88" t="s">
        <v>483</v>
      </c>
      <c r="I88">
        <v>0.55176461956122902</v>
      </c>
    </row>
    <row r="89" spans="1:9" x14ac:dyDescent="0.25">
      <c r="A89" s="23" t="s">
        <v>479</v>
      </c>
      <c r="B89" t="s">
        <v>490</v>
      </c>
      <c r="C89" t="s">
        <v>480</v>
      </c>
      <c r="D89" t="s">
        <v>494</v>
      </c>
      <c r="E89">
        <v>0.57676214998390696</v>
      </c>
      <c r="F89" t="s">
        <v>482</v>
      </c>
      <c r="G89">
        <v>0.51486855336876802</v>
      </c>
      <c r="H89" t="s">
        <v>483</v>
      </c>
      <c r="I89">
        <v>0.54406072106261805</v>
      </c>
    </row>
    <row r="90" spans="1:9" x14ac:dyDescent="0.25">
      <c r="A90" s="23" t="s">
        <v>479</v>
      </c>
      <c r="B90" t="s">
        <v>490</v>
      </c>
      <c r="C90" t="s">
        <v>480</v>
      </c>
      <c r="D90" t="s">
        <v>495</v>
      </c>
      <c r="E90">
        <v>0.61931034482758596</v>
      </c>
      <c r="F90" t="s">
        <v>482</v>
      </c>
      <c r="G90">
        <v>0.63355439537180702</v>
      </c>
      <c r="H90" t="s">
        <v>483</v>
      </c>
      <c r="I90">
        <v>0.62635139847945798</v>
      </c>
    </row>
    <row r="91" spans="1:9" x14ac:dyDescent="0.25">
      <c r="A91" s="23" t="s">
        <v>479</v>
      </c>
      <c r="B91" t="s">
        <v>490</v>
      </c>
      <c r="C91" t="s">
        <v>480</v>
      </c>
      <c r="D91" t="s">
        <v>496</v>
      </c>
      <c r="E91">
        <v>0.69685902118334497</v>
      </c>
      <c r="F91" t="s">
        <v>482</v>
      </c>
      <c r="G91">
        <v>0.76064423536915904</v>
      </c>
      <c r="H91" t="s">
        <v>483</v>
      </c>
      <c r="I91">
        <v>0.72735590118938698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B48FF-71F9-4EF9-B478-A2B5E1D37AF2}">
  <sheetPr codeName="Sheet14">
    <tabColor theme="9" tint="0.39997558519241921"/>
  </sheetPr>
  <dimension ref="A1:A91"/>
  <sheetViews>
    <sheetView workbookViewId="0"/>
  </sheetViews>
  <sheetFormatPr defaultRowHeight="15" x14ac:dyDescent="0.25"/>
  <sheetData>
    <row r="1" spans="1:1" x14ac:dyDescent="0.25">
      <c r="A1" s="2" t="s">
        <v>90</v>
      </c>
    </row>
    <row r="3" spans="1:1" x14ac:dyDescent="0.25">
      <c r="A3" s="23" t="s">
        <v>254</v>
      </c>
    </row>
    <row r="4" spans="1:1" x14ac:dyDescent="0.25">
      <c r="A4" s="23" t="s">
        <v>255</v>
      </c>
    </row>
    <row r="5" spans="1:1" x14ac:dyDescent="0.25">
      <c r="A5" s="23" t="s">
        <v>499</v>
      </c>
    </row>
    <row r="6" spans="1:1" x14ac:dyDescent="0.25">
      <c r="A6" s="23" t="s">
        <v>94</v>
      </c>
    </row>
    <row r="7" spans="1:1" x14ac:dyDescent="0.25">
      <c r="A7" s="23" t="s">
        <v>95</v>
      </c>
    </row>
    <row r="8" spans="1:1" x14ac:dyDescent="0.25">
      <c r="A8" s="23" t="s">
        <v>96</v>
      </c>
    </row>
    <row r="9" spans="1:1" x14ac:dyDescent="0.25">
      <c r="A9" s="23" t="s">
        <v>581</v>
      </c>
    </row>
    <row r="10" spans="1:1" x14ac:dyDescent="0.25">
      <c r="A10" s="23" t="s">
        <v>582</v>
      </c>
    </row>
    <row r="11" spans="1:1" x14ac:dyDescent="0.25">
      <c r="A11" s="23" t="s">
        <v>583</v>
      </c>
    </row>
    <row r="12" spans="1:1" x14ac:dyDescent="0.25">
      <c r="A12" s="23" t="s">
        <v>584</v>
      </c>
    </row>
    <row r="13" spans="1:1" x14ac:dyDescent="0.25">
      <c r="A13" s="23" t="s">
        <v>585</v>
      </c>
    </row>
    <row r="14" spans="1:1" x14ac:dyDescent="0.25">
      <c r="A14" s="23" t="s">
        <v>586</v>
      </c>
    </row>
    <row r="15" spans="1:1" x14ac:dyDescent="0.25">
      <c r="A15" s="23" t="s">
        <v>97</v>
      </c>
    </row>
    <row r="16" spans="1:1" x14ac:dyDescent="0.25">
      <c r="A16" s="23" t="s">
        <v>587</v>
      </c>
    </row>
    <row r="17" spans="1:1" x14ac:dyDescent="0.25">
      <c r="A17" s="23" t="s">
        <v>588</v>
      </c>
    </row>
    <row r="18" spans="1:1" x14ac:dyDescent="0.25">
      <c r="A18" s="23" t="s">
        <v>589</v>
      </c>
    </row>
    <row r="19" spans="1:1" x14ac:dyDescent="0.25">
      <c r="A19" s="23" t="s">
        <v>590</v>
      </c>
    </row>
    <row r="20" spans="1:1" x14ac:dyDescent="0.25">
      <c r="A20" s="23" t="s">
        <v>591</v>
      </c>
    </row>
    <row r="21" spans="1:1" x14ac:dyDescent="0.25">
      <c r="A21" s="23" t="s">
        <v>592</v>
      </c>
    </row>
    <row r="22" spans="1:1" x14ac:dyDescent="0.25">
      <c r="A22" s="23" t="s">
        <v>98</v>
      </c>
    </row>
    <row r="23" spans="1:1" x14ac:dyDescent="0.25">
      <c r="A23" s="23" t="s">
        <v>593</v>
      </c>
    </row>
    <row r="24" spans="1:1" x14ac:dyDescent="0.25">
      <c r="A24" s="23" t="s">
        <v>594</v>
      </c>
    </row>
    <row r="25" spans="1:1" x14ac:dyDescent="0.25">
      <c r="A25" s="23" t="s">
        <v>595</v>
      </c>
    </row>
    <row r="26" spans="1:1" x14ac:dyDescent="0.25">
      <c r="A26" s="23" t="s">
        <v>596</v>
      </c>
    </row>
    <row r="27" spans="1:1" x14ac:dyDescent="0.25">
      <c r="A27" s="23" t="s">
        <v>597</v>
      </c>
    </row>
    <row r="28" spans="1:1" x14ac:dyDescent="0.25">
      <c r="A28" s="23" t="s">
        <v>598</v>
      </c>
    </row>
    <row r="29" spans="1:1" x14ac:dyDescent="0.25">
      <c r="A29" s="23" t="s">
        <v>99</v>
      </c>
    </row>
    <row r="30" spans="1:1" x14ac:dyDescent="0.25">
      <c r="A30" s="23" t="s">
        <v>599</v>
      </c>
    </row>
    <row r="31" spans="1:1" x14ac:dyDescent="0.25">
      <c r="A31" s="23" t="s">
        <v>600</v>
      </c>
    </row>
    <row r="32" spans="1:1" x14ac:dyDescent="0.25">
      <c r="A32" s="23" t="s">
        <v>601</v>
      </c>
    </row>
    <row r="33" spans="1:1" x14ac:dyDescent="0.25">
      <c r="A33" s="23" t="s">
        <v>602</v>
      </c>
    </row>
    <row r="34" spans="1:1" x14ac:dyDescent="0.25">
      <c r="A34" s="23" t="s">
        <v>603</v>
      </c>
    </row>
    <row r="35" spans="1:1" x14ac:dyDescent="0.25">
      <c r="A35" s="23" t="s">
        <v>604</v>
      </c>
    </row>
    <row r="36" spans="1:1" x14ac:dyDescent="0.25">
      <c r="A36" s="23" t="s">
        <v>100</v>
      </c>
    </row>
    <row r="37" spans="1:1" x14ac:dyDescent="0.25">
      <c r="A37" s="23" t="s">
        <v>605</v>
      </c>
    </row>
    <row r="38" spans="1:1" x14ac:dyDescent="0.25">
      <c r="A38" s="23" t="s">
        <v>606</v>
      </c>
    </row>
    <row r="39" spans="1:1" x14ac:dyDescent="0.25">
      <c r="A39" s="23" t="s">
        <v>607</v>
      </c>
    </row>
    <row r="40" spans="1:1" x14ac:dyDescent="0.25">
      <c r="A40" s="23" t="s">
        <v>608</v>
      </c>
    </row>
    <row r="41" spans="1:1" x14ac:dyDescent="0.25">
      <c r="A41" s="23" t="s">
        <v>609</v>
      </c>
    </row>
    <row r="42" spans="1:1" x14ac:dyDescent="0.25">
      <c r="A42" s="23" t="s">
        <v>610</v>
      </c>
    </row>
    <row r="43" spans="1:1" x14ac:dyDescent="0.25">
      <c r="A43" s="23" t="s">
        <v>101</v>
      </c>
    </row>
    <row r="44" spans="1:1" x14ac:dyDescent="0.25">
      <c r="A44" s="23" t="s">
        <v>611</v>
      </c>
    </row>
    <row r="45" spans="1:1" x14ac:dyDescent="0.25">
      <c r="A45" s="23" t="s">
        <v>612</v>
      </c>
    </row>
    <row r="46" spans="1:1" x14ac:dyDescent="0.25">
      <c r="A46" s="23" t="s">
        <v>613</v>
      </c>
    </row>
    <row r="47" spans="1:1" x14ac:dyDescent="0.25">
      <c r="A47" s="23" t="s">
        <v>614</v>
      </c>
    </row>
    <row r="48" spans="1:1" x14ac:dyDescent="0.25">
      <c r="A48" s="23" t="s">
        <v>615</v>
      </c>
    </row>
    <row r="49" spans="1:1" x14ac:dyDescent="0.25">
      <c r="A49" s="23" t="s">
        <v>616</v>
      </c>
    </row>
    <row r="50" spans="1:1" x14ac:dyDescent="0.25">
      <c r="A50" s="23" t="s">
        <v>102</v>
      </c>
    </row>
    <row r="51" spans="1:1" x14ac:dyDescent="0.25">
      <c r="A51" s="23" t="s">
        <v>617</v>
      </c>
    </row>
    <row r="52" spans="1:1" x14ac:dyDescent="0.25">
      <c r="A52" s="23" t="s">
        <v>618</v>
      </c>
    </row>
    <row r="53" spans="1:1" x14ac:dyDescent="0.25">
      <c r="A53" s="23" t="s">
        <v>619</v>
      </c>
    </row>
    <row r="54" spans="1:1" x14ac:dyDescent="0.25">
      <c r="A54" s="23" t="s">
        <v>620</v>
      </c>
    </row>
    <row r="55" spans="1:1" x14ac:dyDescent="0.25">
      <c r="A55" s="23" t="s">
        <v>621</v>
      </c>
    </row>
    <row r="56" spans="1:1" x14ac:dyDescent="0.25">
      <c r="A56" s="23" t="s">
        <v>622</v>
      </c>
    </row>
    <row r="57" spans="1:1" x14ac:dyDescent="0.25">
      <c r="A57" s="23" t="s">
        <v>103</v>
      </c>
    </row>
    <row r="58" spans="1:1" x14ac:dyDescent="0.25">
      <c r="A58" s="23" t="s">
        <v>623</v>
      </c>
    </row>
    <row r="59" spans="1:1" x14ac:dyDescent="0.25">
      <c r="A59" s="23" t="s">
        <v>624</v>
      </c>
    </row>
    <row r="60" spans="1:1" x14ac:dyDescent="0.25">
      <c r="A60" s="23" t="s">
        <v>625</v>
      </c>
    </row>
    <row r="61" spans="1:1" x14ac:dyDescent="0.25">
      <c r="A61" s="23" t="s">
        <v>626</v>
      </c>
    </row>
    <row r="62" spans="1:1" x14ac:dyDescent="0.25">
      <c r="A62" s="23" t="s">
        <v>627</v>
      </c>
    </row>
    <row r="63" spans="1:1" x14ac:dyDescent="0.25">
      <c r="A63" s="23" t="s">
        <v>628</v>
      </c>
    </row>
    <row r="64" spans="1:1" x14ac:dyDescent="0.25">
      <c r="A64" s="23" t="s">
        <v>104</v>
      </c>
    </row>
    <row r="65" spans="1:1" x14ac:dyDescent="0.25">
      <c r="A65" s="23" t="s">
        <v>629</v>
      </c>
    </row>
    <row r="66" spans="1:1" x14ac:dyDescent="0.25">
      <c r="A66" s="23" t="s">
        <v>630</v>
      </c>
    </row>
    <row r="67" spans="1:1" x14ac:dyDescent="0.25">
      <c r="A67" s="23" t="s">
        <v>631</v>
      </c>
    </row>
    <row r="68" spans="1:1" x14ac:dyDescent="0.25">
      <c r="A68" s="23" t="s">
        <v>632</v>
      </c>
    </row>
    <row r="69" spans="1:1" x14ac:dyDescent="0.25">
      <c r="A69" s="23" t="s">
        <v>633</v>
      </c>
    </row>
    <row r="70" spans="1:1" x14ac:dyDescent="0.25">
      <c r="A70" s="23" t="s">
        <v>634</v>
      </c>
    </row>
    <row r="71" spans="1:1" x14ac:dyDescent="0.25">
      <c r="A71" s="23" t="s">
        <v>105</v>
      </c>
    </row>
    <row r="72" spans="1:1" x14ac:dyDescent="0.25">
      <c r="A72" s="23" t="s">
        <v>635</v>
      </c>
    </row>
    <row r="73" spans="1:1" x14ac:dyDescent="0.25">
      <c r="A73" s="23" t="s">
        <v>636</v>
      </c>
    </row>
    <row r="74" spans="1:1" x14ac:dyDescent="0.25">
      <c r="A74" s="23" t="s">
        <v>637</v>
      </c>
    </row>
    <row r="75" spans="1:1" x14ac:dyDescent="0.25">
      <c r="A75" s="23" t="s">
        <v>638</v>
      </c>
    </row>
    <row r="76" spans="1:1" x14ac:dyDescent="0.25">
      <c r="A76" s="23" t="s">
        <v>639</v>
      </c>
    </row>
    <row r="77" spans="1:1" x14ac:dyDescent="0.25">
      <c r="A77" s="23" t="s">
        <v>640</v>
      </c>
    </row>
    <row r="78" spans="1:1" x14ac:dyDescent="0.25">
      <c r="A78" s="23" t="s">
        <v>106</v>
      </c>
    </row>
    <row r="79" spans="1:1" x14ac:dyDescent="0.25">
      <c r="A79" s="23" t="s">
        <v>641</v>
      </c>
    </row>
    <row r="80" spans="1:1" x14ac:dyDescent="0.25">
      <c r="A80" s="23" t="s">
        <v>642</v>
      </c>
    </row>
    <row r="81" spans="1:1" x14ac:dyDescent="0.25">
      <c r="A81" s="23" t="s">
        <v>643</v>
      </c>
    </row>
    <row r="82" spans="1:1" x14ac:dyDescent="0.25">
      <c r="A82" s="23" t="s">
        <v>644</v>
      </c>
    </row>
    <row r="83" spans="1:1" x14ac:dyDescent="0.25">
      <c r="A83" s="23" t="s">
        <v>645</v>
      </c>
    </row>
    <row r="84" spans="1:1" x14ac:dyDescent="0.25">
      <c r="A84" s="23" t="s">
        <v>646</v>
      </c>
    </row>
    <row r="85" spans="1:1" x14ac:dyDescent="0.25">
      <c r="A85" s="23" t="s">
        <v>107</v>
      </c>
    </row>
    <row r="86" spans="1:1" x14ac:dyDescent="0.25">
      <c r="A86" s="23" t="s">
        <v>647</v>
      </c>
    </row>
    <row r="87" spans="1:1" x14ac:dyDescent="0.25">
      <c r="A87" s="23" t="s">
        <v>648</v>
      </c>
    </row>
    <row r="88" spans="1:1" x14ac:dyDescent="0.25">
      <c r="A88" s="23" t="s">
        <v>649</v>
      </c>
    </row>
    <row r="89" spans="1:1" x14ac:dyDescent="0.25">
      <c r="A89" s="23" t="s">
        <v>650</v>
      </c>
    </row>
    <row r="90" spans="1:1" x14ac:dyDescent="0.25">
      <c r="A90" s="23" t="s">
        <v>651</v>
      </c>
    </row>
    <row r="91" spans="1:1" x14ac:dyDescent="0.25">
      <c r="A91" s="23" t="s">
        <v>652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D7CBC-A94C-4870-8A8D-EE41CBF48E0D}">
  <sheetPr codeName="Sheet18"/>
  <dimension ref="A1:I91"/>
  <sheetViews>
    <sheetView workbookViewId="0"/>
  </sheetViews>
  <sheetFormatPr defaultRowHeight="15" x14ac:dyDescent="0.25"/>
  <sheetData>
    <row r="1" spans="1:9" x14ac:dyDescent="0.25">
      <c r="A1" s="2" t="s">
        <v>90</v>
      </c>
    </row>
    <row r="3" spans="1:9" x14ac:dyDescent="0.25">
      <c r="A3" s="23" t="s">
        <v>254</v>
      </c>
    </row>
    <row r="4" spans="1:9" x14ac:dyDescent="0.25">
      <c r="A4" s="23" t="s">
        <v>255</v>
      </c>
    </row>
    <row r="5" spans="1:9" x14ac:dyDescent="0.25">
      <c r="A5" s="23" t="s">
        <v>499</v>
      </c>
    </row>
    <row r="6" spans="1:9" x14ac:dyDescent="0.25">
      <c r="A6" s="23" t="s">
        <v>94</v>
      </c>
    </row>
    <row r="7" spans="1:9" x14ac:dyDescent="0.25">
      <c r="A7" s="23" t="s">
        <v>95</v>
      </c>
    </row>
    <row r="8" spans="1:9" x14ac:dyDescent="0.25">
      <c r="A8" s="23" t="s">
        <v>96</v>
      </c>
    </row>
    <row r="9" spans="1:9" x14ac:dyDescent="0.25">
      <c r="A9" s="23" t="s">
        <v>479</v>
      </c>
      <c r="B9" t="s">
        <v>15</v>
      </c>
      <c r="C9" t="s">
        <v>480</v>
      </c>
      <c r="D9" t="s">
        <v>491</v>
      </c>
      <c r="E9">
        <v>0.511156186612576</v>
      </c>
      <c r="F9" t="s">
        <v>482</v>
      </c>
      <c r="G9">
        <v>0.429301533219761</v>
      </c>
      <c r="H9" t="s">
        <v>483</v>
      </c>
      <c r="I9">
        <v>0.46666666666666601</v>
      </c>
    </row>
    <row r="10" spans="1:9" x14ac:dyDescent="0.25">
      <c r="A10" s="23" t="s">
        <v>479</v>
      </c>
      <c r="B10" t="s">
        <v>15</v>
      </c>
      <c r="C10" t="s">
        <v>480</v>
      </c>
      <c r="D10" t="s">
        <v>492</v>
      </c>
      <c r="E10">
        <v>0.53831417624521005</v>
      </c>
      <c r="F10" t="s">
        <v>482</v>
      </c>
      <c r="G10">
        <v>0.44251968503937</v>
      </c>
      <c r="H10" t="s">
        <v>483</v>
      </c>
      <c r="I10">
        <v>0.48573898012100197</v>
      </c>
    </row>
    <row r="11" spans="1:9" x14ac:dyDescent="0.25">
      <c r="A11" s="23" t="s">
        <v>479</v>
      </c>
      <c r="B11" t="s">
        <v>15</v>
      </c>
      <c r="C11" t="s">
        <v>480</v>
      </c>
      <c r="D11" t="s">
        <v>493</v>
      </c>
      <c r="E11">
        <v>0.54963235294117596</v>
      </c>
      <c r="F11" t="s">
        <v>482</v>
      </c>
      <c r="G11">
        <v>0.45648854961832003</v>
      </c>
      <c r="H11" t="s">
        <v>483</v>
      </c>
      <c r="I11">
        <v>0.498748957464553</v>
      </c>
    </row>
    <row r="12" spans="1:9" x14ac:dyDescent="0.25">
      <c r="A12" s="23" t="s">
        <v>479</v>
      </c>
      <c r="B12" t="s">
        <v>15</v>
      </c>
      <c r="C12" t="s">
        <v>480</v>
      </c>
      <c r="D12" t="s">
        <v>494</v>
      </c>
      <c r="E12">
        <v>0.61494252873563204</v>
      </c>
      <c r="F12" t="s">
        <v>482</v>
      </c>
      <c r="G12">
        <v>0.61582733812949597</v>
      </c>
      <c r="H12" t="s">
        <v>483</v>
      </c>
      <c r="I12">
        <v>0.61538461538461497</v>
      </c>
    </row>
    <row r="13" spans="1:9" x14ac:dyDescent="0.25">
      <c r="A13" s="23" t="s">
        <v>479</v>
      </c>
      <c r="B13" t="s">
        <v>15</v>
      </c>
      <c r="C13" t="s">
        <v>480</v>
      </c>
      <c r="D13" t="s">
        <v>495</v>
      </c>
      <c r="E13">
        <v>0.66666666666666596</v>
      </c>
      <c r="F13" t="s">
        <v>482</v>
      </c>
      <c r="G13">
        <v>0.50563204005006201</v>
      </c>
      <c r="H13" t="s">
        <v>483</v>
      </c>
      <c r="I13">
        <v>0.57508896797152997</v>
      </c>
    </row>
    <row r="14" spans="1:9" x14ac:dyDescent="0.25">
      <c r="A14" s="23" t="s">
        <v>479</v>
      </c>
      <c r="B14" t="s">
        <v>15</v>
      </c>
      <c r="C14" t="s">
        <v>480</v>
      </c>
      <c r="D14" t="s">
        <v>496</v>
      </c>
      <c r="E14">
        <v>0.82403433476394805</v>
      </c>
      <c r="F14" t="s">
        <v>482</v>
      </c>
      <c r="G14">
        <v>0.87537993920972601</v>
      </c>
      <c r="H14" t="s">
        <v>483</v>
      </c>
      <c r="I14">
        <v>0.84893146647015405</v>
      </c>
    </row>
    <row r="15" spans="1:9" x14ac:dyDescent="0.25">
      <c r="A15" s="23" t="s">
        <v>97</v>
      </c>
    </row>
    <row r="16" spans="1:9" x14ac:dyDescent="0.25">
      <c r="A16" s="23" t="s">
        <v>479</v>
      </c>
      <c r="B16" t="s">
        <v>27</v>
      </c>
      <c r="C16" t="s">
        <v>480</v>
      </c>
      <c r="D16" t="s">
        <v>491</v>
      </c>
      <c r="E16">
        <v>0.52411575562700896</v>
      </c>
      <c r="F16" t="s">
        <v>482</v>
      </c>
      <c r="G16">
        <v>0.53267973856209105</v>
      </c>
      <c r="H16" t="s">
        <v>483</v>
      </c>
      <c r="I16">
        <v>0.52836304700161996</v>
      </c>
    </row>
    <row r="17" spans="1:9" x14ac:dyDescent="0.25">
      <c r="A17" s="23" t="s">
        <v>479</v>
      </c>
      <c r="B17" t="s">
        <v>27</v>
      </c>
      <c r="C17" t="s">
        <v>480</v>
      </c>
      <c r="D17" t="s">
        <v>492</v>
      </c>
      <c r="E17">
        <v>0.55289139633286299</v>
      </c>
      <c r="F17" t="s">
        <v>482</v>
      </c>
      <c r="G17">
        <v>0.58507462686567102</v>
      </c>
      <c r="H17" t="s">
        <v>483</v>
      </c>
      <c r="I17">
        <v>0.56852791878172504</v>
      </c>
    </row>
    <row r="18" spans="1:9" x14ac:dyDescent="0.25">
      <c r="A18" s="23" t="s">
        <v>479</v>
      </c>
      <c r="B18" t="s">
        <v>27</v>
      </c>
      <c r="C18" t="s">
        <v>480</v>
      </c>
      <c r="D18" t="s">
        <v>493</v>
      </c>
      <c r="E18">
        <v>0.57262569832402199</v>
      </c>
      <c r="F18" t="s">
        <v>482</v>
      </c>
      <c r="G18">
        <v>0.59679767103347803</v>
      </c>
      <c r="H18" t="s">
        <v>483</v>
      </c>
      <c r="I18">
        <v>0.58446186742694195</v>
      </c>
    </row>
    <row r="19" spans="1:9" x14ac:dyDescent="0.25">
      <c r="A19" s="23" t="s">
        <v>479</v>
      </c>
      <c r="B19" t="s">
        <v>27</v>
      </c>
      <c r="C19" t="s">
        <v>480</v>
      </c>
      <c r="D19" t="s">
        <v>494</v>
      </c>
      <c r="E19">
        <v>0.60091743119265995</v>
      </c>
      <c r="F19" t="s">
        <v>482</v>
      </c>
      <c r="G19">
        <v>0.52330226364846799</v>
      </c>
      <c r="H19" t="s">
        <v>483</v>
      </c>
      <c r="I19">
        <v>0.55943060498220598</v>
      </c>
    </row>
    <row r="20" spans="1:9" x14ac:dyDescent="0.25">
      <c r="A20" s="23" t="s">
        <v>479</v>
      </c>
      <c r="B20" t="s">
        <v>27</v>
      </c>
      <c r="C20" t="s">
        <v>480</v>
      </c>
      <c r="D20" t="s">
        <v>495</v>
      </c>
      <c r="E20">
        <v>0.65912518853695301</v>
      </c>
      <c r="F20" t="s">
        <v>482</v>
      </c>
      <c r="G20">
        <v>0.58579088471849805</v>
      </c>
      <c r="H20" t="s">
        <v>483</v>
      </c>
      <c r="I20">
        <v>0.62029808374733797</v>
      </c>
    </row>
    <row r="21" spans="1:9" x14ac:dyDescent="0.25">
      <c r="A21" s="23" t="s">
        <v>479</v>
      </c>
      <c r="B21" t="s">
        <v>27</v>
      </c>
      <c r="C21" t="s">
        <v>480</v>
      </c>
      <c r="D21" t="s">
        <v>496</v>
      </c>
      <c r="E21">
        <v>0.88547486033519496</v>
      </c>
      <c r="F21" t="s">
        <v>482</v>
      </c>
      <c r="G21">
        <v>0.78855721393034806</v>
      </c>
      <c r="H21" t="s">
        <v>483</v>
      </c>
      <c r="I21">
        <v>0.83421052631578896</v>
      </c>
    </row>
    <row r="22" spans="1:9" x14ac:dyDescent="0.25">
      <c r="A22" s="23" t="s">
        <v>98</v>
      </c>
    </row>
    <row r="23" spans="1:9" x14ac:dyDescent="0.25">
      <c r="A23" s="23" t="s">
        <v>479</v>
      </c>
      <c r="B23" t="s">
        <v>28</v>
      </c>
      <c r="C23" t="s">
        <v>480</v>
      </c>
      <c r="D23" t="s">
        <v>491</v>
      </c>
      <c r="E23">
        <v>0.48760330578512301</v>
      </c>
      <c r="F23" t="s">
        <v>482</v>
      </c>
      <c r="G23">
        <v>0.40410958904109501</v>
      </c>
      <c r="H23" t="s">
        <v>483</v>
      </c>
      <c r="I23">
        <v>0.44194756554307102</v>
      </c>
    </row>
    <row r="24" spans="1:9" x14ac:dyDescent="0.25">
      <c r="A24" s="23" t="s">
        <v>479</v>
      </c>
      <c r="B24" t="s">
        <v>28</v>
      </c>
      <c r="C24" t="s">
        <v>480</v>
      </c>
      <c r="D24" t="s">
        <v>492</v>
      </c>
      <c r="E24">
        <v>0.56040756914119305</v>
      </c>
      <c r="F24" t="s">
        <v>482</v>
      </c>
      <c r="G24">
        <v>0.60439560439560402</v>
      </c>
      <c r="H24" t="s">
        <v>483</v>
      </c>
      <c r="I24">
        <v>0.58157099697885195</v>
      </c>
    </row>
    <row r="25" spans="1:9" x14ac:dyDescent="0.25">
      <c r="A25" s="23" t="s">
        <v>479</v>
      </c>
      <c r="B25" t="s">
        <v>28</v>
      </c>
      <c r="C25" t="s">
        <v>480</v>
      </c>
      <c r="D25" t="s">
        <v>493</v>
      </c>
      <c r="E25">
        <v>0.51010101010101006</v>
      </c>
      <c r="F25" t="s">
        <v>482</v>
      </c>
      <c r="G25">
        <v>0.32268370607028701</v>
      </c>
      <c r="H25" t="s">
        <v>483</v>
      </c>
      <c r="I25">
        <v>0.39530332681017599</v>
      </c>
    </row>
    <row r="26" spans="1:9" x14ac:dyDescent="0.25">
      <c r="A26" s="23" t="s">
        <v>479</v>
      </c>
      <c r="B26" t="s">
        <v>28</v>
      </c>
      <c r="C26" t="s">
        <v>480</v>
      </c>
      <c r="D26" t="s">
        <v>494</v>
      </c>
      <c r="E26">
        <v>0.52095808383233499</v>
      </c>
      <c r="F26" t="s">
        <v>482</v>
      </c>
      <c r="G26">
        <v>0.412974683544303</v>
      </c>
      <c r="H26" t="s">
        <v>483</v>
      </c>
      <c r="I26">
        <v>0.46072374227714002</v>
      </c>
    </row>
    <row r="27" spans="1:9" x14ac:dyDescent="0.25">
      <c r="A27" s="23" t="s">
        <v>479</v>
      </c>
      <c r="B27" t="s">
        <v>28</v>
      </c>
      <c r="C27" t="s">
        <v>480</v>
      </c>
      <c r="D27" t="s">
        <v>495</v>
      </c>
      <c r="E27">
        <v>0.75583864118895905</v>
      </c>
      <c r="F27" t="s">
        <v>482</v>
      </c>
      <c r="G27">
        <v>0.51076040172166404</v>
      </c>
      <c r="H27" t="s">
        <v>483</v>
      </c>
      <c r="I27">
        <v>0.60958904109588996</v>
      </c>
    </row>
    <row r="28" spans="1:9" x14ac:dyDescent="0.25">
      <c r="A28" s="23" t="s">
        <v>479</v>
      </c>
      <c r="B28" t="s">
        <v>28</v>
      </c>
      <c r="C28" t="s">
        <v>480</v>
      </c>
      <c r="D28" t="s">
        <v>496</v>
      </c>
      <c r="E28">
        <v>0.84742951907131003</v>
      </c>
      <c r="F28" t="s">
        <v>482</v>
      </c>
      <c r="G28">
        <v>0.68224299065420502</v>
      </c>
      <c r="H28" t="s">
        <v>483</v>
      </c>
      <c r="I28">
        <v>0.75591715976331297</v>
      </c>
    </row>
    <row r="29" spans="1:9" x14ac:dyDescent="0.25">
      <c r="A29" s="23" t="s">
        <v>99</v>
      </c>
    </row>
    <row r="30" spans="1:9" x14ac:dyDescent="0.25">
      <c r="A30" s="23" t="s">
        <v>479</v>
      </c>
      <c r="B30" t="s">
        <v>29</v>
      </c>
      <c r="C30" t="s">
        <v>480</v>
      </c>
      <c r="D30" t="s">
        <v>491</v>
      </c>
      <c r="E30">
        <v>0.46689895470383203</v>
      </c>
      <c r="F30" t="s">
        <v>482</v>
      </c>
      <c r="G30">
        <v>0.49084249084248999</v>
      </c>
      <c r="H30" t="s">
        <v>483</v>
      </c>
      <c r="I30">
        <v>0.47857142857142798</v>
      </c>
    </row>
    <row r="31" spans="1:9" x14ac:dyDescent="0.25">
      <c r="A31" s="23" t="s">
        <v>479</v>
      </c>
      <c r="B31" t="s">
        <v>29</v>
      </c>
      <c r="C31" t="s">
        <v>480</v>
      </c>
      <c r="D31" t="s">
        <v>492</v>
      </c>
      <c r="E31">
        <v>0.47564935064934999</v>
      </c>
      <c r="F31" t="s">
        <v>482</v>
      </c>
      <c r="G31">
        <v>0.55178907721280601</v>
      </c>
      <c r="H31" t="s">
        <v>483</v>
      </c>
      <c r="I31">
        <v>0.51089799476896203</v>
      </c>
    </row>
    <row r="32" spans="1:9" x14ac:dyDescent="0.25">
      <c r="A32" s="23" t="s">
        <v>479</v>
      </c>
      <c r="B32" t="s">
        <v>29</v>
      </c>
      <c r="C32" t="s">
        <v>480</v>
      </c>
      <c r="D32" t="s">
        <v>493</v>
      </c>
      <c r="E32">
        <v>0.45379537953795301</v>
      </c>
      <c r="F32" t="s">
        <v>482</v>
      </c>
      <c r="G32">
        <v>0.53606237816764102</v>
      </c>
      <c r="H32" t="s">
        <v>483</v>
      </c>
      <c r="I32">
        <v>0.49151027703306499</v>
      </c>
    </row>
    <row r="33" spans="1:9" x14ac:dyDescent="0.25">
      <c r="A33" s="23" t="s">
        <v>479</v>
      </c>
      <c r="B33" t="s">
        <v>29</v>
      </c>
      <c r="C33" t="s">
        <v>480</v>
      </c>
      <c r="D33" t="s">
        <v>494</v>
      </c>
      <c r="E33">
        <v>0.45395799676898202</v>
      </c>
      <c r="F33" t="s">
        <v>482</v>
      </c>
      <c r="G33">
        <v>0.55206286836935103</v>
      </c>
      <c r="H33" t="s">
        <v>483</v>
      </c>
      <c r="I33">
        <v>0.49822695035460901</v>
      </c>
    </row>
    <row r="34" spans="1:9" x14ac:dyDescent="0.25">
      <c r="A34" s="23" t="s">
        <v>479</v>
      </c>
      <c r="B34" t="s">
        <v>29</v>
      </c>
      <c r="C34" t="s">
        <v>480</v>
      </c>
      <c r="D34" t="s">
        <v>495</v>
      </c>
      <c r="E34">
        <v>0.539363484087102</v>
      </c>
      <c r="F34" t="s">
        <v>482</v>
      </c>
      <c r="G34">
        <v>0.70769230769230695</v>
      </c>
      <c r="H34" t="s">
        <v>483</v>
      </c>
      <c r="I34">
        <v>0.61216730038022804</v>
      </c>
    </row>
    <row r="35" spans="1:9" x14ac:dyDescent="0.25">
      <c r="A35" s="23" t="s">
        <v>479</v>
      </c>
      <c r="B35" t="s">
        <v>29</v>
      </c>
      <c r="C35" t="s">
        <v>480</v>
      </c>
      <c r="D35" t="s">
        <v>496</v>
      </c>
      <c r="E35">
        <v>0.491496598639455</v>
      </c>
      <c r="F35" t="s">
        <v>482</v>
      </c>
      <c r="G35">
        <v>0.60334029227557395</v>
      </c>
      <c r="H35" t="s">
        <v>483</v>
      </c>
      <c r="I35">
        <v>0.54170571696344805</v>
      </c>
    </row>
    <row r="36" spans="1:9" x14ac:dyDescent="0.25">
      <c r="A36" s="23" t="s">
        <v>100</v>
      </c>
    </row>
    <row r="37" spans="1:9" x14ac:dyDescent="0.25">
      <c r="A37" s="23" t="s">
        <v>479</v>
      </c>
      <c r="B37" t="s">
        <v>30</v>
      </c>
      <c r="C37" t="s">
        <v>480</v>
      </c>
      <c r="D37" t="s">
        <v>491</v>
      </c>
      <c r="E37">
        <v>0.51013513513513498</v>
      </c>
      <c r="F37" t="s">
        <v>482</v>
      </c>
      <c r="G37">
        <v>0.50671140939597303</v>
      </c>
      <c r="H37" t="s">
        <v>483</v>
      </c>
      <c r="I37">
        <v>0.50841750841750799</v>
      </c>
    </row>
    <row r="38" spans="1:9" x14ac:dyDescent="0.25">
      <c r="A38" s="23" t="s">
        <v>479</v>
      </c>
      <c r="B38" t="s">
        <v>30</v>
      </c>
      <c r="C38" t="s">
        <v>480</v>
      </c>
      <c r="D38" t="s">
        <v>492</v>
      </c>
      <c r="E38">
        <v>0.54084967320261401</v>
      </c>
      <c r="F38" t="s">
        <v>482</v>
      </c>
      <c r="G38">
        <v>0.51962323390894805</v>
      </c>
      <c r="H38" t="s">
        <v>483</v>
      </c>
      <c r="I38">
        <v>0.53002401921537201</v>
      </c>
    </row>
    <row r="39" spans="1:9" x14ac:dyDescent="0.25">
      <c r="A39" s="23" t="s">
        <v>479</v>
      </c>
      <c r="B39" t="s">
        <v>30</v>
      </c>
      <c r="C39" t="s">
        <v>480</v>
      </c>
      <c r="D39" t="s">
        <v>493</v>
      </c>
      <c r="E39">
        <v>0.6</v>
      </c>
      <c r="F39" t="s">
        <v>482</v>
      </c>
      <c r="G39">
        <v>0.50228310502283102</v>
      </c>
      <c r="H39" t="s">
        <v>483</v>
      </c>
      <c r="I39">
        <v>0.54681027340513599</v>
      </c>
    </row>
    <row r="40" spans="1:9" x14ac:dyDescent="0.25">
      <c r="A40" s="23" t="s">
        <v>479</v>
      </c>
      <c r="B40" t="s">
        <v>30</v>
      </c>
      <c r="C40" t="s">
        <v>480</v>
      </c>
      <c r="D40" t="s">
        <v>494</v>
      </c>
      <c r="E40">
        <v>0.60312944523470802</v>
      </c>
      <c r="F40" t="s">
        <v>482</v>
      </c>
      <c r="G40">
        <v>0.61627906976744096</v>
      </c>
      <c r="H40" t="s">
        <v>483</v>
      </c>
      <c r="I40">
        <v>0.60963335729690804</v>
      </c>
    </row>
    <row r="41" spans="1:9" x14ac:dyDescent="0.25">
      <c r="A41" s="23" t="s">
        <v>479</v>
      </c>
      <c r="B41" t="s">
        <v>30</v>
      </c>
      <c r="C41" t="s">
        <v>480</v>
      </c>
      <c r="D41" t="s">
        <v>495</v>
      </c>
      <c r="E41">
        <v>0.67133956386292803</v>
      </c>
      <c r="F41" t="s">
        <v>482</v>
      </c>
      <c r="G41">
        <v>0.59203296703296704</v>
      </c>
      <c r="H41" t="s">
        <v>483</v>
      </c>
      <c r="I41">
        <v>0.62919708029196997</v>
      </c>
    </row>
    <row r="42" spans="1:9" x14ac:dyDescent="0.25">
      <c r="A42" s="23" t="s">
        <v>479</v>
      </c>
      <c r="B42" t="s">
        <v>30</v>
      </c>
      <c r="C42" t="s">
        <v>480</v>
      </c>
      <c r="D42" t="s">
        <v>496</v>
      </c>
      <c r="E42">
        <v>0.93304221251819497</v>
      </c>
      <c r="F42" t="s">
        <v>482</v>
      </c>
      <c r="G42">
        <v>0.84342105263157896</v>
      </c>
      <c r="H42" t="s">
        <v>483</v>
      </c>
      <c r="I42">
        <v>0.88597097442985395</v>
      </c>
    </row>
    <row r="43" spans="1:9" x14ac:dyDescent="0.25">
      <c r="A43" s="23" t="s">
        <v>101</v>
      </c>
    </row>
    <row r="44" spans="1:9" x14ac:dyDescent="0.25">
      <c r="A44" s="23" t="s">
        <v>479</v>
      </c>
      <c r="B44" t="s">
        <v>31</v>
      </c>
      <c r="C44" t="s">
        <v>480</v>
      </c>
      <c r="D44" t="s">
        <v>491</v>
      </c>
      <c r="E44">
        <v>0.50076103500761004</v>
      </c>
      <c r="F44" t="s">
        <v>482</v>
      </c>
      <c r="G44">
        <v>0.58024691358024605</v>
      </c>
      <c r="H44" t="s">
        <v>483</v>
      </c>
      <c r="I44">
        <v>0.53758169934640498</v>
      </c>
    </row>
    <row r="45" spans="1:9" x14ac:dyDescent="0.25">
      <c r="A45" s="23" t="s">
        <v>479</v>
      </c>
      <c r="B45" t="s">
        <v>31</v>
      </c>
      <c r="C45" t="s">
        <v>480</v>
      </c>
      <c r="D45" t="s">
        <v>492</v>
      </c>
      <c r="E45">
        <v>0.50279329608938494</v>
      </c>
      <c r="F45" t="s">
        <v>482</v>
      </c>
      <c r="G45">
        <v>0.62717770034843201</v>
      </c>
      <c r="H45" t="s">
        <v>483</v>
      </c>
      <c r="I45">
        <v>0.55813953488372003</v>
      </c>
    </row>
    <row r="46" spans="1:9" x14ac:dyDescent="0.25">
      <c r="A46" s="23" t="s">
        <v>479</v>
      </c>
      <c r="B46" t="s">
        <v>31</v>
      </c>
      <c r="C46" t="s">
        <v>480</v>
      </c>
      <c r="D46" t="s">
        <v>493</v>
      </c>
      <c r="E46">
        <v>0.46153846153846101</v>
      </c>
      <c r="F46" t="s">
        <v>482</v>
      </c>
      <c r="G46">
        <v>0.50602409638554202</v>
      </c>
      <c r="H46" t="s">
        <v>483</v>
      </c>
      <c r="I46">
        <v>0.48275862068965503</v>
      </c>
    </row>
    <row r="47" spans="1:9" x14ac:dyDescent="0.25">
      <c r="A47" s="23" t="s">
        <v>479</v>
      </c>
      <c r="B47" t="s">
        <v>31</v>
      </c>
      <c r="C47" t="s">
        <v>480</v>
      </c>
      <c r="D47" t="s">
        <v>494</v>
      </c>
      <c r="E47">
        <v>0.47802197802197799</v>
      </c>
      <c r="F47" t="s">
        <v>482</v>
      </c>
      <c r="G47">
        <v>0.60732984293193704</v>
      </c>
      <c r="H47" t="s">
        <v>483</v>
      </c>
      <c r="I47">
        <v>0.53497309761721701</v>
      </c>
    </row>
    <row r="48" spans="1:9" x14ac:dyDescent="0.25">
      <c r="A48" s="23" t="s">
        <v>479</v>
      </c>
      <c r="B48" t="s">
        <v>31</v>
      </c>
      <c r="C48" t="s">
        <v>480</v>
      </c>
      <c r="D48" t="s">
        <v>495</v>
      </c>
      <c r="E48">
        <v>0.58530805687203702</v>
      </c>
      <c r="F48" t="s">
        <v>482</v>
      </c>
      <c r="G48">
        <v>0.86212914485165704</v>
      </c>
      <c r="H48" t="s">
        <v>483</v>
      </c>
      <c r="I48">
        <v>0.69724770642201805</v>
      </c>
    </row>
    <row r="49" spans="1:9" x14ac:dyDescent="0.25">
      <c r="A49" s="23" t="s">
        <v>479</v>
      </c>
      <c r="B49" t="s">
        <v>31</v>
      </c>
      <c r="C49" t="s">
        <v>480</v>
      </c>
      <c r="D49" t="s">
        <v>496</v>
      </c>
      <c r="E49">
        <v>0.34533551554828101</v>
      </c>
      <c r="F49" t="s">
        <v>482</v>
      </c>
      <c r="G49">
        <v>0.69867549668874096</v>
      </c>
      <c r="H49" t="s">
        <v>483</v>
      </c>
      <c r="I49">
        <v>0.46221248630887102</v>
      </c>
    </row>
    <row r="50" spans="1:9" x14ac:dyDescent="0.25">
      <c r="A50" s="23" t="s">
        <v>102</v>
      </c>
    </row>
    <row r="51" spans="1:9" x14ac:dyDescent="0.25">
      <c r="A51" s="23" t="s">
        <v>479</v>
      </c>
      <c r="B51" t="s">
        <v>32</v>
      </c>
      <c r="C51" t="s">
        <v>480</v>
      </c>
      <c r="D51" t="s">
        <v>491</v>
      </c>
      <c r="E51">
        <v>0.49197860962566797</v>
      </c>
      <c r="F51" t="s">
        <v>482</v>
      </c>
      <c r="G51">
        <v>0.48763250883392201</v>
      </c>
      <c r="H51" t="s">
        <v>483</v>
      </c>
      <c r="I51">
        <v>0.48979591836734698</v>
      </c>
    </row>
    <row r="52" spans="1:9" x14ac:dyDescent="0.25">
      <c r="A52" s="23" t="s">
        <v>479</v>
      </c>
      <c r="B52" t="s">
        <v>32</v>
      </c>
      <c r="C52" t="s">
        <v>480</v>
      </c>
      <c r="D52" t="s">
        <v>492</v>
      </c>
      <c r="E52">
        <v>0.50724637681159401</v>
      </c>
      <c r="F52" t="s">
        <v>482</v>
      </c>
      <c r="G52">
        <v>0.56654676258992798</v>
      </c>
      <c r="H52" t="s">
        <v>483</v>
      </c>
      <c r="I52">
        <v>0.535259133389974</v>
      </c>
    </row>
    <row r="53" spans="1:9" x14ac:dyDescent="0.25">
      <c r="A53" s="23" t="s">
        <v>479</v>
      </c>
      <c r="B53" t="s">
        <v>32</v>
      </c>
      <c r="C53" t="s">
        <v>480</v>
      </c>
      <c r="D53" t="s">
        <v>493</v>
      </c>
      <c r="E53">
        <v>0.42323651452282102</v>
      </c>
      <c r="F53" t="s">
        <v>482</v>
      </c>
      <c r="G53">
        <v>0.37847866419294901</v>
      </c>
      <c r="H53" t="s">
        <v>483</v>
      </c>
      <c r="I53">
        <v>0.39960822722820699</v>
      </c>
    </row>
    <row r="54" spans="1:9" x14ac:dyDescent="0.25">
      <c r="A54" s="23" t="s">
        <v>479</v>
      </c>
      <c r="B54" t="s">
        <v>32</v>
      </c>
      <c r="C54" t="s">
        <v>480</v>
      </c>
      <c r="D54" t="s">
        <v>494</v>
      </c>
      <c r="E54">
        <v>0.436974789915966</v>
      </c>
      <c r="F54" t="s">
        <v>482</v>
      </c>
      <c r="G54">
        <v>0.29489603024574601</v>
      </c>
      <c r="H54" t="s">
        <v>483</v>
      </c>
      <c r="I54">
        <v>0.35214446952595901</v>
      </c>
    </row>
    <row r="55" spans="1:9" x14ac:dyDescent="0.25">
      <c r="A55" s="23" t="s">
        <v>479</v>
      </c>
      <c r="B55" t="s">
        <v>32</v>
      </c>
      <c r="C55" t="s">
        <v>480</v>
      </c>
      <c r="D55" t="s">
        <v>495</v>
      </c>
      <c r="E55">
        <v>0.48455056179775202</v>
      </c>
      <c r="F55" t="s">
        <v>482</v>
      </c>
      <c r="G55">
        <v>0.63535911602209905</v>
      </c>
      <c r="H55" t="s">
        <v>483</v>
      </c>
      <c r="I55">
        <v>0.54980079681274896</v>
      </c>
    </row>
    <row r="56" spans="1:9" x14ac:dyDescent="0.25">
      <c r="A56" s="23" t="s">
        <v>479</v>
      </c>
      <c r="B56" t="s">
        <v>32</v>
      </c>
      <c r="C56" t="s">
        <v>480</v>
      </c>
      <c r="D56" t="s">
        <v>496</v>
      </c>
      <c r="E56">
        <v>0.49538461538461498</v>
      </c>
      <c r="F56" t="s">
        <v>482</v>
      </c>
      <c r="G56">
        <v>0.57913669064748197</v>
      </c>
      <c r="H56" t="s">
        <v>483</v>
      </c>
      <c r="I56">
        <v>0.53399668325041405</v>
      </c>
    </row>
    <row r="57" spans="1:9" x14ac:dyDescent="0.25">
      <c r="A57" s="23" t="s">
        <v>103</v>
      </c>
    </row>
    <row r="58" spans="1:9" x14ac:dyDescent="0.25">
      <c r="A58" s="23" t="s">
        <v>479</v>
      </c>
      <c r="B58" t="s">
        <v>489</v>
      </c>
      <c r="C58" t="s">
        <v>480</v>
      </c>
      <c r="D58" t="s">
        <v>491</v>
      </c>
      <c r="E58">
        <v>0.54045307443365698</v>
      </c>
      <c r="F58" t="s">
        <v>482</v>
      </c>
      <c r="G58">
        <v>0.558528428093645</v>
      </c>
      <c r="H58" t="s">
        <v>483</v>
      </c>
      <c r="I58">
        <v>0.54934210526315697</v>
      </c>
    </row>
    <row r="59" spans="1:9" x14ac:dyDescent="0.25">
      <c r="A59" s="23" t="s">
        <v>479</v>
      </c>
      <c r="B59" t="s">
        <v>489</v>
      </c>
      <c r="C59" t="s">
        <v>480</v>
      </c>
      <c r="D59" t="s">
        <v>492</v>
      </c>
      <c r="E59">
        <v>0.56474820143884896</v>
      </c>
      <c r="F59" t="s">
        <v>482</v>
      </c>
      <c r="G59">
        <v>0.50726978998384398</v>
      </c>
      <c r="H59" t="s">
        <v>483</v>
      </c>
      <c r="I59">
        <v>0.534468085106382</v>
      </c>
    </row>
    <row r="60" spans="1:9" x14ac:dyDescent="0.25">
      <c r="A60" s="23" t="s">
        <v>479</v>
      </c>
      <c r="B60" t="s">
        <v>489</v>
      </c>
      <c r="C60" t="s">
        <v>480</v>
      </c>
      <c r="D60" t="s">
        <v>493</v>
      </c>
      <c r="E60">
        <v>0.570175438596491</v>
      </c>
      <c r="F60" t="s">
        <v>482</v>
      </c>
      <c r="G60">
        <v>0.41009463722397399</v>
      </c>
      <c r="H60" t="s">
        <v>483</v>
      </c>
      <c r="I60">
        <v>0.47706422018348599</v>
      </c>
    </row>
    <row r="61" spans="1:9" x14ac:dyDescent="0.25">
      <c r="A61" s="23" t="s">
        <v>479</v>
      </c>
      <c r="B61" t="s">
        <v>489</v>
      </c>
      <c r="C61" t="s">
        <v>480</v>
      </c>
      <c r="D61" t="s">
        <v>494</v>
      </c>
      <c r="E61">
        <v>0.581920903954802</v>
      </c>
      <c r="F61" t="s">
        <v>482</v>
      </c>
      <c r="G61">
        <v>0.47320061255742701</v>
      </c>
      <c r="H61" t="s">
        <v>483</v>
      </c>
      <c r="I61">
        <v>0.52195945945945899</v>
      </c>
    </row>
    <row r="62" spans="1:9" x14ac:dyDescent="0.25">
      <c r="A62" s="23" t="s">
        <v>479</v>
      </c>
      <c r="B62" t="s">
        <v>489</v>
      </c>
      <c r="C62" t="s">
        <v>480</v>
      </c>
      <c r="D62" t="s">
        <v>495</v>
      </c>
      <c r="E62">
        <v>0.65814696485623003</v>
      </c>
      <c r="F62" t="s">
        <v>482</v>
      </c>
      <c r="G62">
        <v>0.61676646706586802</v>
      </c>
      <c r="H62" t="s">
        <v>483</v>
      </c>
      <c r="I62">
        <v>0.63678516228748006</v>
      </c>
    </row>
    <row r="63" spans="1:9" x14ac:dyDescent="0.25">
      <c r="A63" s="23" t="s">
        <v>479</v>
      </c>
      <c r="B63" t="s">
        <v>489</v>
      </c>
      <c r="C63" t="s">
        <v>480</v>
      </c>
      <c r="D63" t="s">
        <v>496</v>
      </c>
      <c r="E63">
        <v>0.64055944055944003</v>
      </c>
      <c r="F63" t="s">
        <v>482</v>
      </c>
      <c r="G63">
        <v>0.70461538461538398</v>
      </c>
      <c r="H63" t="s">
        <v>483</v>
      </c>
      <c r="I63">
        <v>0.67106227106227101</v>
      </c>
    </row>
    <row r="64" spans="1:9" x14ac:dyDescent="0.25">
      <c r="A64" s="23" t="s">
        <v>104</v>
      </c>
    </row>
    <row r="65" spans="1:9" x14ac:dyDescent="0.25">
      <c r="A65" s="23" t="s">
        <v>479</v>
      </c>
      <c r="B65" t="s">
        <v>34</v>
      </c>
      <c r="C65" t="s">
        <v>480</v>
      </c>
      <c r="D65" t="s">
        <v>491</v>
      </c>
      <c r="E65">
        <v>0.52791878172588802</v>
      </c>
      <c r="F65" t="s">
        <v>482</v>
      </c>
      <c r="G65">
        <v>0.35494880546075003</v>
      </c>
      <c r="H65" t="s">
        <v>483</v>
      </c>
      <c r="I65">
        <v>0.424489795918367</v>
      </c>
    </row>
    <row r="66" spans="1:9" x14ac:dyDescent="0.25">
      <c r="A66" s="23" t="s">
        <v>479</v>
      </c>
      <c r="B66" t="s">
        <v>34</v>
      </c>
      <c r="C66" t="s">
        <v>480</v>
      </c>
      <c r="D66" t="s">
        <v>492</v>
      </c>
      <c r="E66">
        <v>0.61689587426326098</v>
      </c>
      <c r="F66" t="s">
        <v>482</v>
      </c>
      <c r="G66">
        <v>0.47289156626506001</v>
      </c>
      <c r="H66" t="s">
        <v>483</v>
      </c>
      <c r="I66">
        <v>0.535379369138959</v>
      </c>
    </row>
    <row r="67" spans="1:9" x14ac:dyDescent="0.25">
      <c r="A67" s="23" t="s">
        <v>479</v>
      </c>
      <c r="B67" t="s">
        <v>34</v>
      </c>
      <c r="C67" t="s">
        <v>480</v>
      </c>
      <c r="D67" t="s">
        <v>493</v>
      </c>
      <c r="E67">
        <v>0.70700636942675099</v>
      </c>
      <c r="F67" t="s">
        <v>482</v>
      </c>
      <c r="G67">
        <v>0.48191027496382</v>
      </c>
      <c r="H67" t="s">
        <v>483</v>
      </c>
      <c r="I67">
        <v>0.57314974182444001</v>
      </c>
    </row>
    <row r="68" spans="1:9" x14ac:dyDescent="0.25">
      <c r="A68" s="23" t="s">
        <v>479</v>
      </c>
      <c r="B68" t="s">
        <v>34</v>
      </c>
      <c r="C68" t="s">
        <v>480</v>
      </c>
      <c r="D68" t="s">
        <v>494</v>
      </c>
      <c r="E68">
        <v>0.772151898734177</v>
      </c>
      <c r="F68" t="s">
        <v>482</v>
      </c>
      <c r="G68">
        <v>0.56631299734747997</v>
      </c>
      <c r="H68" t="s">
        <v>483</v>
      </c>
      <c r="I68">
        <v>0.65340474368783397</v>
      </c>
    </row>
    <row r="69" spans="1:9" x14ac:dyDescent="0.25">
      <c r="A69" s="23" t="s">
        <v>479</v>
      </c>
      <c r="B69" t="s">
        <v>34</v>
      </c>
      <c r="C69" t="s">
        <v>480</v>
      </c>
      <c r="D69" t="s">
        <v>495</v>
      </c>
      <c r="E69">
        <v>0.83403068340306796</v>
      </c>
      <c r="F69" t="s">
        <v>482</v>
      </c>
      <c r="G69">
        <v>0.70435806831566505</v>
      </c>
      <c r="H69" t="s">
        <v>483</v>
      </c>
      <c r="I69">
        <v>0.763729246487867</v>
      </c>
    </row>
    <row r="70" spans="1:9" x14ac:dyDescent="0.25">
      <c r="A70" s="23" t="s">
        <v>479</v>
      </c>
      <c r="B70" t="s">
        <v>34</v>
      </c>
      <c r="C70" t="s">
        <v>480</v>
      </c>
      <c r="D70" t="s">
        <v>496</v>
      </c>
      <c r="E70">
        <v>0.9375</v>
      </c>
      <c r="F70" t="s">
        <v>482</v>
      </c>
      <c r="G70">
        <v>0.99056603773584895</v>
      </c>
      <c r="H70" t="s">
        <v>483</v>
      </c>
      <c r="I70">
        <v>0.96330275229357798</v>
      </c>
    </row>
    <row r="71" spans="1:9" x14ac:dyDescent="0.25">
      <c r="A71" s="23" t="s">
        <v>105</v>
      </c>
    </row>
    <row r="72" spans="1:9" x14ac:dyDescent="0.25">
      <c r="A72" s="23" t="s">
        <v>479</v>
      </c>
      <c r="B72" t="s">
        <v>35</v>
      </c>
      <c r="C72" t="s">
        <v>480</v>
      </c>
      <c r="D72" t="s">
        <v>491</v>
      </c>
      <c r="E72">
        <v>0.52836879432624095</v>
      </c>
      <c r="F72" t="s">
        <v>482</v>
      </c>
      <c r="G72">
        <v>0.52743362831858398</v>
      </c>
      <c r="H72" t="s">
        <v>483</v>
      </c>
      <c r="I72">
        <v>0.52790079716563298</v>
      </c>
    </row>
    <row r="73" spans="1:9" x14ac:dyDescent="0.25">
      <c r="A73" s="23" t="s">
        <v>479</v>
      </c>
      <c r="B73" t="s">
        <v>35</v>
      </c>
      <c r="C73" t="s">
        <v>480</v>
      </c>
      <c r="D73" t="s">
        <v>492</v>
      </c>
      <c r="E73">
        <v>0.52442528735632099</v>
      </c>
      <c r="F73" t="s">
        <v>482</v>
      </c>
      <c r="G73">
        <v>0.61139028475711799</v>
      </c>
      <c r="H73" t="s">
        <v>483</v>
      </c>
      <c r="I73">
        <v>0.56457849961330198</v>
      </c>
    </row>
    <row r="74" spans="1:9" x14ac:dyDescent="0.25">
      <c r="A74" s="23" t="s">
        <v>479</v>
      </c>
      <c r="B74" t="s">
        <v>35</v>
      </c>
      <c r="C74" t="s">
        <v>480</v>
      </c>
      <c r="D74" t="s">
        <v>493</v>
      </c>
      <c r="E74">
        <v>0.500725689404934</v>
      </c>
      <c r="F74" t="s">
        <v>482</v>
      </c>
      <c r="G74">
        <v>0.59176672384219497</v>
      </c>
      <c r="H74" t="s">
        <v>483</v>
      </c>
      <c r="I74">
        <v>0.54245283018867896</v>
      </c>
    </row>
    <row r="75" spans="1:9" x14ac:dyDescent="0.25">
      <c r="A75" s="23" t="s">
        <v>479</v>
      </c>
      <c r="B75" t="s">
        <v>35</v>
      </c>
      <c r="C75" t="s">
        <v>480</v>
      </c>
      <c r="D75" t="s">
        <v>494</v>
      </c>
      <c r="E75">
        <v>0.43877551020408101</v>
      </c>
      <c r="F75" t="s">
        <v>482</v>
      </c>
      <c r="G75">
        <v>0.45744680851063801</v>
      </c>
      <c r="H75" t="s">
        <v>483</v>
      </c>
      <c r="I75">
        <v>0.44791666666666602</v>
      </c>
    </row>
    <row r="76" spans="1:9" x14ac:dyDescent="0.25">
      <c r="A76" s="23" t="s">
        <v>479</v>
      </c>
      <c r="B76" t="s">
        <v>35</v>
      </c>
      <c r="C76" t="s">
        <v>480</v>
      </c>
      <c r="D76" t="s">
        <v>495</v>
      </c>
      <c r="E76">
        <v>0.46787148594377498</v>
      </c>
      <c r="F76" t="s">
        <v>482</v>
      </c>
      <c r="G76">
        <v>0.42988929889298799</v>
      </c>
      <c r="H76" t="s">
        <v>483</v>
      </c>
      <c r="I76">
        <v>0.44807692307692298</v>
      </c>
    </row>
    <row r="77" spans="1:9" x14ac:dyDescent="0.25">
      <c r="A77" s="23" t="s">
        <v>479</v>
      </c>
      <c r="B77" t="s">
        <v>35</v>
      </c>
      <c r="C77" t="s">
        <v>480</v>
      </c>
      <c r="D77" t="s">
        <v>496</v>
      </c>
      <c r="E77">
        <v>0.62948960302457402</v>
      </c>
      <c r="F77" t="s">
        <v>482</v>
      </c>
      <c r="G77">
        <v>0.64410058027079298</v>
      </c>
      <c r="H77" t="s">
        <v>483</v>
      </c>
      <c r="I77">
        <v>0.63671128107074504</v>
      </c>
    </row>
    <row r="78" spans="1:9" x14ac:dyDescent="0.25">
      <c r="A78" s="23" t="s">
        <v>106</v>
      </c>
    </row>
    <row r="79" spans="1:9" x14ac:dyDescent="0.25">
      <c r="A79" s="23" t="s">
        <v>479</v>
      </c>
      <c r="B79" t="s">
        <v>36</v>
      </c>
      <c r="C79" t="s">
        <v>480</v>
      </c>
      <c r="D79" t="s">
        <v>491</v>
      </c>
      <c r="E79">
        <v>0.50534351145038103</v>
      </c>
      <c r="F79" t="s">
        <v>482</v>
      </c>
      <c r="G79">
        <v>0.58274647887323905</v>
      </c>
      <c r="H79" t="s">
        <v>483</v>
      </c>
      <c r="I79">
        <v>0.54129190515126702</v>
      </c>
    </row>
    <row r="80" spans="1:9" x14ac:dyDescent="0.25">
      <c r="A80" s="23" t="s">
        <v>479</v>
      </c>
      <c r="B80" t="s">
        <v>36</v>
      </c>
      <c r="C80" t="s">
        <v>480</v>
      </c>
      <c r="D80" t="s">
        <v>492</v>
      </c>
      <c r="E80">
        <v>0.54523227383863004</v>
      </c>
      <c r="F80" t="s">
        <v>482</v>
      </c>
      <c r="G80">
        <v>0.72756933115823796</v>
      </c>
      <c r="H80" t="s">
        <v>483</v>
      </c>
      <c r="I80">
        <v>0.62334032145352902</v>
      </c>
    </row>
    <row r="81" spans="1:9" x14ac:dyDescent="0.25">
      <c r="A81" s="23" t="s">
        <v>479</v>
      </c>
      <c r="B81" t="s">
        <v>36</v>
      </c>
      <c r="C81" t="s">
        <v>480</v>
      </c>
      <c r="D81" t="s">
        <v>493</v>
      </c>
      <c r="E81">
        <v>0.53871681415929196</v>
      </c>
      <c r="F81" t="s">
        <v>482</v>
      </c>
      <c r="G81">
        <v>0.806291390728476</v>
      </c>
      <c r="H81" t="s">
        <v>483</v>
      </c>
      <c r="I81">
        <v>0.64588859416445599</v>
      </c>
    </row>
    <row r="82" spans="1:9" x14ac:dyDescent="0.25">
      <c r="A82" s="23" t="s">
        <v>479</v>
      </c>
      <c r="B82" t="s">
        <v>36</v>
      </c>
      <c r="C82" t="s">
        <v>480</v>
      </c>
      <c r="D82" t="s">
        <v>494</v>
      </c>
      <c r="E82">
        <v>0.57418699186991795</v>
      </c>
      <c r="F82" t="s">
        <v>482</v>
      </c>
      <c r="G82">
        <v>0.92169657422512197</v>
      </c>
      <c r="H82" t="s">
        <v>483</v>
      </c>
      <c r="I82">
        <v>0.70757670632435798</v>
      </c>
    </row>
    <row r="83" spans="1:9" x14ac:dyDescent="0.25">
      <c r="A83" s="23" t="s">
        <v>479</v>
      </c>
      <c r="B83" t="s">
        <v>36</v>
      </c>
      <c r="C83" t="s">
        <v>480</v>
      </c>
      <c r="D83" t="s">
        <v>495</v>
      </c>
      <c r="E83">
        <v>0.39593301435406603</v>
      </c>
      <c r="F83" t="s">
        <v>482</v>
      </c>
      <c r="G83">
        <v>0.67967145790554395</v>
      </c>
      <c r="H83" t="s">
        <v>483</v>
      </c>
      <c r="I83">
        <v>0.50037792894935695</v>
      </c>
    </row>
    <row r="84" spans="1:9" x14ac:dyDescent="0.25">
      <c r="A84" s="23" t="s">
        <v>479</v>
      </c>
      <c r="B84" t="s">
        <v>36</v>
      </c>
      <c r="C84" t="s">
        <v>480</v>
      </c>
      <c r="D84" t="s">
        <v>496</v>
      </c>
      <c r="E84">
        <v>0.43055555555555503</v>
      </c>
      <c r="F84" t="s">
        <v>482</v>
      </c>
      <c r="G84">
        <v>0.96017699115044197</v>
      </c>
      <c r="H84" t="s">
        <v>483</v>
      </c>
      <c r="I84">
        <v>0.59452054794520504</v>
      </c>
    </row>
    <row r="85" spans="1:9" x14ac:dyDescent="0.25">
      <c r="A85" s="23" t="s">
        <v>107</v>
      </c>
    </row>
    <row r="86" spans="1:9" x14ac:dyDescent="0.25">
      <c r="A86" s="23" t="s">
        <v>479</v>
      </c>
      <c r="B86" t="s">
        <v>490</v>
      </c>
      <c r="C86" t="s">
        <v>480</v>
      </c>
      <c r="D86" t="s">
        <v>491</v>
      </c>
      <c r="E86">
        <v>0.50852912777598902</v>
      </c>
      <c r="F86" t="s">
        <v>482</v>
      </c>
      <c r="G86">
        <v>0.49568627450980302</v>
      </c>
      <c r="H86" t="s">
        <v>483</v>
      </c>
      <c r="I86">
        <v>0.50202557788545499</v>
      </c>
    </row>
    <row r="87" spans="1:9" x14ac:dyDescent="0.25">
      <c r="A87" s="23" t="s">
        <v>479</v>
      </c>
      <c r="B87" t="s">
        <v>490</v>
      </c>
      <c r="C87" t="s">
        <v>480</v>
      </c>
      <c r="D87" t="s">
        <v>492</v>
      </c>
      <c r="E87">
        <v>0.53752478051543395</v>
      </c>
      <c r="F87" t="s">
        <v>482</v>
      </c>
      <c r="G87">
        <v>0.56379028664785302</v>
      </c>
      <c r="H87" t="s">
        <v>483</v>
      </c>
      <c r="I87">
        <v>0.55034432765494701</v>
      </c>
    </row>
    <row r="88" spans="1:9" x14ac:dyDescent="0.25">
      <c r="A88" s="23" t="s">
        <v>479</v>
      </c>
      <c r="B88" t="s">
        <v>490</v>
      </c>
      <c r="C88" t="s">
        <v>480</v>
      </c>
      <c r="D88" t="s">
        <v>493</v>
      </c>
      <c r="E88">
        <v>0.53309564408618804</v>
      </c>
      <c r="F88" t="s">
        <v>482</v>
      </c>
      <c r="G88">
        <v>0.50797636632200804</v>
      </c>
      <c r="H88" t="s">
        <v>483</v>
      </c>
      <c r="I88">
        <v>0.52023296271083797</v>
      </c>
    </row>
    <row r="89" spans="1:9" x14ac:dyDescent="0.25">
      <c r="A89" s="23" t="s">
        <v>479</v>
      </c>
      <c r="B89" t="s">
        <v>490</v>
      </c>
      <c r="C89" t="s">
        <v>480</v>
      </c>
      <c r="D89" t="s">
        <v>494</v>
      </c>
      <c r="E89">
        <v>0.55684119178478397</v>
      </c>
      <c r="F89" t="s">
        <v>482</v>
      </c>
      <c r="G89">
        <v>0.553081453814107</v>
      </c>
      <c r="H89" t="s">
        <v>483</v>
      </c>
      <c r="I89">
        <v>0.55495495495495495</v>
      </c>
    </row>
    <row r="90" spans="1:9" x14ac:dyDescent="0.25">
      <c r="A90" s="23" t="s">
        <v>479</v>
      </c>
      <c r="B90" t="s">
        <v>490</v>
      </c>
      <c r="C90" t="s">
        <v>480</v>
      </c>
      <c r="D90" t="s">
        <v>495</v>
      </c>
      <c r="E90">
        <v>0.60496394897393202</v>
      </c>
      <c r="F90" t="s">
        <v>482</v>
      </c>
      <c r="G90">
        <v>0.61563425991251497</v>
      </c>
      <c r="H90" t="s">
        <v>483</v>
      </c>
      <c r="I90">
        <v>0.61025246520735699</v>
      </c>
    </row>
    <row r="91" spans="1:9" x14ac:dyDescent="0.25">
      <c r="A91" s="23" t="s">
        <v>479</v>
      </c>
      <c r="B91" t="s">
        <v>490</v>
      </c>
      <c r="C91" t="s">
        <v>480</v>
      </c>
      <c r="D91" t="s">
        <v>496</v>
      </c>
      <c r="E91">
        <v>0.70871526262185303</v>
      </c>
      <c r="F91" t="s">
        <v>482</v>
      </c>
      <c r="G91">
        <v>0.77675011959814999</v>
      </c>
      <c r="H91" t="s">
        <v>483</v>
      </c>
      <c r="I91">
        <v>0.74117468046256796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30B0F-F9D9-46B6-B430-1647C5CB1DFA}">
  <sheetPr>
    <tabColor theme="9" tint="-0.499984740745262"/>
  </sheetPr>
  <dimension ref="A1:B5"/>
  <sheetViews>
    <sheetView workbookViewId="0"/>
  </sheetViews>
  <sheetFormatPr defaultRowHeight="15" x14ac:dyDescent="0.25"/>
  <sheetData>
    <row r="1" spans="1:2" x14ac:dyDescent="0.25">
      <c r="A1" s="2" t="s">
        <v>696</v>
      </c>
    </row>
    <row r="3" spans="1:2" x14ac:dyDescent="0.25">
      <c r="A3" s="31" t="s">
        <v>655</v>
      </c>
    </row>
    <row r="4" spans="1:2" x14ac:dyDescent="0.25">
      <c r="A4" t="s">
        <v>653</v>
      </c>
      <c r="B4" s="30" t="s">
        <v>654</v>
      </c>
    </row>
    <row r="5" spans="1:2" x14ac:dyDescent="0.25">
      <c r="A5" t="s">
        <v>656</v>
      </c>
      <c r="B5" s="30" t="s">
        <v>657</v>
      </c>
    </row>
  </sheetData>
  <hyperlinks>
    <hyperlink ref="B4" r:id="rId1" xr:uid="{0A026C9A-5500-40B0-955A-B32A41FFFFE4}"/>
    <hyperlink ref="B5" r:id="rId2" xr:uid="{6FE5DF6B-7BE6-4B95-87AA-074E44F4F0B5}"/>
  </hyperlinks>
  <pageMargins left="0.7" right="0.7" top="0.75" bottom="0.75" header="0.3" footer="0.3"/>
  <pageSetup paperSize="9" orientation="portrait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8218F-05E8-4100-845E-F1A11CA8D203}">
  <sheetPr>
    <tabColor theme="9" tint="-0.499984740745262"/>
  </sheetPr>
  <dimension ref="A1:A744"/>
  <sheetViews>
    <sheetView workbookViewId="0"/>
  </sheetViews>
  <sheetFormatPr defaultRowHeight="15" x14ac:dyDescent="0.25"/>
  <sheetData>
    <row r="1" spans="1:1" x14ac:dyDescent="0.25">
      <c r="A1" s="2" t="s">
        <v>685</v>
      </c>
    </row>
    <row r="3" spans="1:1" x14ac:dyDescent="0.25">
      <c r="A3" s="23" t="s">
        <v>254</v>
      </c>
    </row>
    <row r="4" spans="1:1" x14ac:dyDescent="0.25">
      <c r="A4" s="23" t="s">
        <v>658</v>
      </c>
    </row>
    <row r="5" spans="1:1" x14ac:dyDescent="0.25">
      <c r="A5" s="23" t="s">
        <v>328</v>
      </c>
    </row>
    <row r="6" spans="1:1" x14ac:dyDescent="0.25">
      <c r="A6" s="23" t="s">
        <v>94</v>
      </c>
    </row>
    <row r="7" spans="1:1" x14ac:dyDescent="0.25">
      <c r="A7" s="23" t="s">
        <v>95</v>
      </c>
    </row>
    <row r="8" spans="1:1" x14ac:dyDescent="0.25">
      <c r="A8" s="23" t="s">
        <v>659</v>
      </c>
    </row>
    <row r="9" spans="1:1" x14ac:dyDescent="0.25">
      <c r="A9" s="23" t="s">
        <v>660</v>
      </c>
    </row>
    <row r="10" spans="1:1" x14ac:dyDescent="0.25">
      <c r="A10" s="23" t="s">
        <v>661</v>
      </c>
    </row>
    <row r="11" spans="1:1" x14ac:dyDescent="0.25">
      <c r="A11" s="23" t="s">
        <v>661</v>
      </c>
    </row>
    <row r="12" spans="1:1" x14ac:dyDescent="0.25">
      <c r="A12" s="23" t="s">
        <v>661</v>
      </c>
    </row>
    <row r="13" spans="1:1" x14ac:dyDescent="0.25">
      <c r="A13" s="23" t="s">
        <v>662</v>
      </c>
    </row>
    <row r="14" spans="1:1" x14ac:dyDescent="0.25">
      <c r="A14" s="23" t="s">
        <v>663</v>
      </c>
    </row>
    <row r="15" spans="1:1" x14ac:dyDescent="0.25">
      <c r="A15" s="23" t="s">
        <v>661</v>
      </c>
    </row>
    <row r="16" spans="1:1" x14ac:dyDescent="0.25">
      <c r="A16" s="23" t="s">
        <v>661</v>
      </c>
    </row>
    <row r="17" spans="1:1" x14ac:dyDescent="0.25">
      <c r="A17" s="23" t="s">
        <v>663</v>
      </c>
    </row>
    <row r="18" spans="1:1" x14ac:dyDescent="0.25">
      <c r="A18" s="23" t="s">
        <v>664</v>
      </c>
    </row>
    <row r="19" spans="1:1" x14ac:dyDescent="0.25">
      <c r="A19" s="23" t="s">
        <v>665</v>
      </c>
    </row>
    <row r="20" spans="1:1" x14ac:dyDescent="0.25">
      <c r="A20" s="23" t="s">
        <v>666</v>
      </c>
    </row>
    <row r="21" spans="1:1" x14ac:dyDescent="0.25">
      <c r="A21" s="23" t="s">
        <v>661</v>
      </c>
    </row>
    <row r="22" spans="1:1" x14ac:dyDescent="0.25">
      <c r="A22" s="23" t="s">
        <v>667</v>
      </c>
    </row>
    <row r="23" spans="1:1" x14ac:dyDescent="0.25">
      <c r="A23" s="23" t="s">
        <v>667</v>
      </c>
    </row>
    <row r="24" spans="1:1" x14ac:dyDescent="0.25">
      <c r="A24" s="23" t="s">
        <v>667</v>
      </c>
    </row>
    <row r="25" spans="1:1" x14ac:dyDescent="0.25">
      <c r="A25" s="23" t="s">
        <v>665</v>
      </c>
    </row>
    <row r="26" spans="1:1" x14ac:dyDescent="0.25">
      <c r="A26" s="23" t="s">
        <v>667</v>
      </c>
    </row>
    <row r="27" spans="1:1" x14ac:dyDescent="0.25">
      <c r="A27" s="23" t="s">
        <v>665</v>
      </c>
    </row>
    <row r="28" spans="1:1" x14ac:dyDescent="0.25">
      <c r="A28" s="23" t="s">
        <v>663</v>
      </c>
    </row>
    <row r="29" spans="1:1" x14ac:dyDescent="0.25">
      <c r="A29" s="23" t="s">
        <v>664</v>
      </c>
    </row>
    <row r="30" spans="1:1" x14ac:dyDescent="0.25">
      <c r="A30" s="23" t="s">
        <v>663</v>
      </c>
    </row>
    <row r="31" spans="1:1" x14ac:dyDescent="0.25">
      <c r="A31" s="23" t="s">
        <v>668</v>
      </c>
    </row>
    <row r="32" spans="1:1" x14ac:dyDescent="0.25">
      <c r="A32" s="23" t="s">
        <v>669</v>
      </c>
    </row>
    <row r="33" spans="1:1" x14ac:dyDescent="0.25">
      <c r="A33" s="23" t="s">
        <v>667</v>
      </c>
    </row>
    <row r="34" spans="1:1" x14ac:dyDescent="0.25">
      <c r="A34" s="23" t="s">
        <v>667</v>
      </c>
    </row>
    <row r="35" spans="1:1" x14ac:dyDescent="0.25">
      <c r="A35" s="23" t="s">
        <v>669</v>
      </c>
    </row>
    <row r="36" spans="1:1" x14ac:dyDescent="0.25">
      <c r="A36" s="23" t="s">
        <v>661</v>
      </c>
    </row>
    <row r="37" spans="1:1" x14ac:dyDescent="0.25">
      <c r="A37" s="23" t="s">
        <v>663</v>
      </c>
    </row>
    <row r="38" spans="1:1" x14ac:dyDescent="0.25">
      <c r="A38" s="23" t="s">
        <v>667</v>
      </c>
    </row>
    <row r="39" spans="1:1" x14ac:dyDescent="0.25">
      <c r="A39" s="23" t="s">
        <v>664</v>
      </c>
    </row>
    <row r="40" spans="1:1" x14ac:dyDescent="0.25">
      <c r="A40" s="23" t="s">
        <v>664</v>
      </c>
    </row>
    <row r="41" spans="1:1" x14ac:dyDescent="0.25">
      <c r="A41" s="23" t="s">
        <v>661</v>
      </c>
    </row>
    <row r="42" spans="1:1" x14ac:dyDescent="0.25">
      <c r="A42" s="23" t="s">
        <v>670</v>
      </c>
    </row>
    <row r="43" spans="1:1" x14ac:dyDescent="0.25">
      <c r="A43" s="23" t="s">
        <v>669</v>
      </c>
    </row>
    <row r="44" spans="1:1" x14ac:dyDescent="0.25">
      <c r="A44" s="23" t="s">
        <v>661</v>
      </c>
    </row>
    <row r="45" spans="1:1" x14ac:dyDescent="0.25">
      <c r="A45" s="23" t="s">
        <v>661</v>
      </c>
    </row>
    <row r="46" spans="1:1" x14ac:dyDescent="0.25">
      <c r="A46" s="23" t="s">
        <v>669</v>
      </c>
    </row>
    <row r="47" spans="1:1" x14ac:dyDescent="0.25">
      <c r="A47" s="23" t="s">
        <v>669</v>
      </c>
    </row>
    <row r="48" spans="1:1" x14ac:dyDescent="0.25">
      <c r="A48" s="23" t="s">
        <v>669</v>
      </c>
    </row>
    <row r="49" spans="1:1" x14ac:dyDescent="0.25">
      <c r="A49" s="23" t="s">
        <v>669</v>
      </c>
    </row>
    <row r="50" spans="1:1" x14ac:dyDescent="0.25">
      <c r="A50" s="23" t="s">
        <v>664</v>
      </c>
    </row>
    <row r="51" spans="1:1" x14ac:dyDescent="0.25">
      <c r="A51" s="23" t="s">
        <v>661</v>
      </c>
    </row>
    <row r="52" spans="1:1" x14ac:dyDescent="0.25">
      <c r="A52" s="23" t="s">
        <v>663</v>
      </c>
    </row>
    <row r="53" spans="1:1" x14ac:dyDescent="0.25">
      <c r="A53" s="23" t="s">
        <v>671</v>
      </c>
    </row>
    <row r="54" spans="1:1" x14ac:dyDescent="0.25">
      <c r="A54" s="23" t="s">
        <v>661</v>
      </c>
    </row>
    <row r="55" spans="1:1" x14ac:dyDescent="0.25">
      <c r="A55" s="23" t="s">
        <v>661</v>
      </c>
    </row>
    <row r="56" spans="1:1" x14ac:dyDescent="0.25">
      <c r="A56" s="23" t="s">
        <v>669</v>
      </c>
    </row>
    <row r="57" spans="1:1" x14ac:dyDescent="0.25">
      <c r="A57" s="23" t="s">
        <v>669</v>
      </c>
    </row>
    <row r="58" spans="1:1" x14ac:dyDescent="0.25">
      <c r="A58" s="23" t="s">
        <v>661</v>
      </c>
    </row>
    <row r="59" spans="1:1" x14ac:dyDescent="0.25">
      <c r="A59" s="23" t="s">
        <v>669</v>
      </c>
    </row>
    <row r="60" spans="1:1" x14ac:dyDescent="0.25">
      <c r="A60" s="23" t="s">
        <v>669</v>
      </c>
    </row>
    <row r="61" spans="1:1" x14ac:dyDescent="0.25">
      <c r="A61" s="23" t="s">
        <v>669</v>
      </c>
    </row>
    <row r="62" spans="1:1" x14ac:dyDescent="0.25">
      <c r="A62" s="23" t="s">
        <v>661</v>
      </c>
    </row>
    <row r="63" spans="1:1" x14ac:dyDescent="0.25">
      <c r="A63" s="23" t="s">
        <v>661</v>
      </c>
    </row>
    <row r="64" spans="1:1" x14ac:dyDescent="0.25">
      <c r="A64" s="23" t="s">
        <v>672</v>
      </c>
    </row>
    <row r="65" spans="1:1" x14ac:dyDescent="0.25">
      <c r="A65" s="23" t="s">
        <v>661</v>
      </c>
    </row>
    <row r="66" spans="1:1" x14ac:dyDescent="0.25">
      <c r="A66" s="23" t="s">
        <v>661</v>
      </c>
    </row>
    <row r="67" spans="1:1" x14ac:dyDescent="0.25">
      <c r="A67" s="23" t="s">
        <v>661</v>
      </c>
    </row>
    <row r="68" spans="1:1" x14ac:dyDescent="0.25">
      <c r="A68" s="23" t="s">
        <v>661</v>
      </c>
    </row>
    <row r="69" spans="1:1" x14ac:dyDescent="0.25">
      <c r="A69" s="23" t="s">
        <v>661</v>
      </c>
    </row>
    <row r="70" spans="1:1" x14ac:dyDescent="0.25">
      <c r="A70" s="23" t="s">
        <v>669</v>
      </c>
    </row>
    <row r="71" spans="1:1" x14ac:dyDescent="0.25">
      <c r="A71" s="23" t="s">
        <v>664</v>
      </c>
    </row>
    <row r="72" spans="1:1" x14ac:dyDescent="0.25">
      <c r="A72" s="23" t="s">
        <v>673</v>
      </c>
    </row>
    <row r="73" spans="1:1" x14ac:dyDescent="0.25">
      <c r="A73" s="23" t="s">
        <v>665</v>
      </c>
    </row>
    <row r="74" spans="1:1" x14ac:dyDescent="0.25">
      <c r="A74" s="23" t="s">
        <v>669</v>
      </c>
    </row>
    <row r="75" spans="1:1" x14ac:dyDescent="0.25">
      <c r="A75" s="23" t="s">
        <v>674</v>
      </c>
    </row>
    <row r="76" spans="1:1" x14ac:dyDescent="0.25">
      <c r="A76" s="23" t="s">
        <v>660</v>
      </c>
    </row>
    <row r="77" spans="1:1" x14ac:dyDescent="0.25">
      <c r="A77" s="23" t="s">
        <v>661</v>
      </c>
    </row>
    <row r="78" spans="1:1" x14ac:dyDescent="0.25">
      <c r="A78" s="23" t="s">
        <v>669</v>
      </c>
    </row>
    <row r="79" spans="1:1" x14ac:dyDescent="0.25">
      <c r="A79" s="23" t="s">
        <v>661</v>
      </c>
    </row>
    <row r="80" spans="1:1" x14ac:dyDescent="0.25">
      <c r="A80" s="23" t="s">
        <v>669</v>
      </c>
    </row>
    <row r="81" spans="1:1" x14ac:dyDescent="0.25">
      <c r="A81" s="23" t="s">
        <v>662</v>
      </c>
    </row>
    <row r="82" spans="1:1" x14ac:dyDescent="0.25">
      <c r="A82" s="23" t="s">
        <v>661</v>
      </c>
    </row>
    <row r="83" spans="1:1" x14ac:dyDescent="0.25">
      <c r="A83" s="23" t="s">
        <v>667</v>
      </c>
    </row>
    <row r="84" spans="1:1" x14ac:dyDescent="0.25">
      <c r="A84" s="23" t="s">
        <v>663</v>
      </c>
    </row>
    <row r="85" spans="1:1" x14ac:dyDescent="0.25">
      <c r="A85" s="23" t="s">
        <v>663</v>
      </c>
    </row>
    <row r="86" spans="1:1" x14ac:dyDescent="0.25">
      <c r="A86" s="23" t="s">
        <v>675</v>
      </c>
    </row>
    <row r="87" spans="1:1" x14ac:dyDescent="0.25">
      <c r="A87" s="23" t="s">
        <v>666</v>
      </c>
    </row>
    <row r="88" spans="1:1" x14ac:dyDescent="0.25">
      <c r="A88" s="23" t="s">
        <v>669</v>
      </c>
    </row>
    <row r="89" spans="1:1" x14ac:dyDescent="0.25">
      <c r="A89" s="23" t="s">
        <v>661</v>
      </c>
    </row>
    <row r="90" spans="1:1" x14ac:dyDescent="0.25">
      <c r="A90" s="23" t="s">
        <v>667</v>
      </c>
    </row>
    <row r="91" spans="1:1" x14ac:dyDescent="0.25">
      <c r="A91" s="23" t="s">
        <v>661</v>
      </c>
    </row>
    <row r="92" spans="1:1" x14ac:dyDescent="0.25">
      <c r="A92" s="23" t="s">
        <v>669</v>
      </c>
    </row>
    <row r="93" spans="1:1" x14ac:dyDescent="0.25">
      <c r="A93" s="23" t="s">
        <v>661</v>
      </c>
    </row>
    <row r="94" spans="1:1" x14ac:dyDescent="0.25">
      <c r="A94" s="23" t="s">
        <v>667</v>
      </c>
    </row>
    <row r="95" spans="1:1" x14ac:dyDescent="0.25">
      <c r="A95" s="23" t="s">
        <v>661</v>
      </c>
    </row>
    <row r="96" spans="1:1" x14ac:dyDescent="0.25">
      <c r="A96" s="23" t="s">
        <v>661</v>
      </c>
    </row>
    <row r="97" spans="1:1" x14ac:dyDescent="0.25">
      <c r="A97" s="23" t="s">
        <v>663</v>
      </c>
    </row>
    <row r="98" spans="1:1" x14ac:dyDescent="0.25">
      <c r="A98" s="23" t="s">
        <v>668</v>
      </c>
    </row>
    <row r="99" spans="1:1" x14ac:dyDescent="0.25">
      <c r="A99" s="23" t="s">
        <v>661</v>
      </c>
    </row>
    <row r="100" spans="1:1" x14ac:dyDescent="0.25">
      <c r="A100" s="23" t="s">
        <v>669</v>
      </c>
    </row>
    <row r="101" spans="1:1" x14ac:dyDescent="0.25">
      <c r="A101" s="23" t="s">
        <v>661</v>
      </c>
    </row>
    <row r="102" spans="1:1" x14ac:dyDescent="0.25">
      <c r="A102" s="23" t="s">
        <v>669</v>
      </c>
    </row>
    <row r="103" spans="1:1" x14ac:dyDescent="0.25">
      <c r="A103" s="23" t="s">
        <v>673</v>
      </c>
    </row>
    <row r="104" spans="1:1" x14ac:dyDescent="0.25">
      <c r="A104" s="23" t="s">
        <v>661</v>
      </c>
    </row>
    <row r="105" spans="1:1" x14ac:dyDescent="0.25">
      <c r="A105" s="23" t="s">
        <v>664</v>
      </c>
    </row>
    <row r="106" spans="1:1" x14ac:dyDescent="0.25">
      <c r="A106" s="23" t="s">
        <v>669</v>
      </c>
    </row>
    <row r="107" spans="1:1" x14ac:dyDescent="0.25">
      <c r="A107" s="23" t="s">
        <v>664</v>
      </c>
    </row>
    <row r="108" spans="1:1" x14ac:dyDescent="0.25">
      <c r="A108" s="23" t="s">
        <v>662</v>
      </c>
    </row>
    <row r="109" spans="1:1" x14ac:dyDescent="0.25">
      <c r="A109" s="23" t="s">
        <v>670</v>
      </c>
    </row>
    <row r="110" spans="1:1" x14ac:dyDescent="0.25">
      <c r="A110" s="23" t="s">
        <v>661</v>
      </c>
    </row>
    <row r="111" spans="1:1" x14ac:dyDescent="0.25">
      <c r="A111" s="23" t="s">
        <v>669</v>
      </c>
    </row>
    <row r="112" spans="1:1" x14ac:dyDescent="0.25">
      <c r="A112" s="23" t="s">
        <v>669</v>
      </c>
    </row>
    <row r="113" spans="1:1" x14ac:dyDescent="0.25">
      <c r="A113" s="23" t="s">
        <v>661</v>
      </c>
    </row>
    <row r="114" spans="1:1" x14ac:dyDescent="0.25">
      <c r="A114" s="23" t="s">
        <v>661</v>
      </c>
    </row>
    <row r="115" spans="1:1" x14ac:dyDescent="0.25">
      <c r="A115" s="23" t="s">
        <v>665</v>
      </c>
    </row>
    <row r="116" spans="1:1" x14ac:dyDescent="0.25">
      <c r="A116" s="23" t="s">
        <v>663</v>
      </c>
    </row>
    <row r="117" spans="1:1" x14ac:dyDescent="0.25">
      <c r="A117" s="23" t="s">
        <v>669</v>
      </c>
    </row>
    <row r="118" spans="1:1" x14ac:dyDescent="0.25">
      <c r="A118" s="23" t="s">
        <v>662</v>
      </c>
    </row>
    <row r="119" spans="1:1" x14ac:dyDescent="0.25">
      <c r="A119" s="23" t="s">
        <v>663</v>
      </c>
    </row>
    <row r="120" spans="1:1" x14ac:dyDescent="0.25">
      <c r="A120" s="23" t="s">
        <v>671</v>
      </c>
    </row>
    <row r="121" spans="1:1" x14ac:dyDescent="0.25">
      <c r="A121" s="23" t="s">
        <v>663</v>
      </c>
    </row>
    <row r="122" spans="1:1" x14ac:dyDescent="0.25">
      <c r="A122" s="23" t="s">
        <v>661</v>
      </c>
    </row>
    <row r="123" spans="1:1" x14ac:dyDescent="0.25">
      <c r="A123" s="23" t="s">
        <v>667</v>
      </c>
    </row>
    <row r="124" spans="1:1" x14ac:dyDescent="0.25">
      <c r="A124" s="23" t="s">
        <v>661</v>
      </c>
    </row>
    <row r="125" spans="1:1" x14ac:dyDescent="0.25">
      <c r="A125" s="23" t="s">
        <v>665</v>
      </c>
    </row>
    <row r="126" spans="1:1" x14ac:dyDescent="0.25">
      <c r="A126" s="23" t="s">
        <v>669</v>
      </c>
    </row>
    <row r="127" spans="1:1" x14ac:dyDescent="0.25">
      <c r="A127" s="23" t="s">
        <v>669</v>
      </c>
    </row>
    <row r="128" spans="1:1" x14ac:dyDescent="0.25">
      <c r="A128" s="23" t="s">
        <v>665</v>
      </c>
    </row>
    <row r="129" spans="1:1" x14ac:dyDescent="0.25">
      <c r="A129" s="23" t="s">
        <v>667</v>
      </c>
    </row>
    <row r="130" spans="1:1" x14ac:dyDescent="0.25">
      <c r="A130" s="23" t="s">
        <v>664</v>
      </c>
    </row>
    <row r="131" spans="1:1" x14ac:dyDescent="0.25">
      <c r="A131" s="23" t="s">
        <v>672</v>
      </c>
    </row>
    <row r="132" spans="1:1" x14ac:dyDescent="0.25">
      <c r="A132" s="23" t="s">
        <v>661</v>
      </c>
    </row>
    <row r="133" spans="1:1" x14ac:dyDescent="0.25">
      <c r="A133" s="23" t="s">
        <v>661</v>
      </c>
    </row>
    <row r="134" spans="1:1" x14ac:dyDescent="0.25">
      <c r="A134" s="23" t="s">
        <v>661</v>
      </c>
    </row>
    <row r="135" spans="1:1" x14ac:dyDescent="0.25">
      <c r="A135" s="23" t="s">
        <v>661</v>
      </c>
    </row>
    <row r="136" spans="1:1" x14ac:dyDescent="0.25">
      <c r="A136" s="23" t="s">
        <v>665</v>
      </c>
    </row>
    <row r="137" spans="1:1" x14ac:dyDescent="0.25">
      <c r="A137" s="23" t="s">
        <v>669</v>
      </c>
    </row>
    <row r="138" spans="1:1" x14ac:dyDescent="0.25">
      <c r="A138" s="23" t="s">
        <v>665</v>
      </c>
    </row>
    <row r="139" spans="1:1" x14ac:dyDescent="0.25">
      <c r="A139" s="23" t="s">
        <v>661</v>
      </c>
    </row>
    <row r="140" spans="1:1" x14ac:dyDescent="0.25">
      <c r="A140" s="23" t="s">
        <v>661</v>
      </c>
    </row>
    <row r="141" spans="1:1" x14ac:dyDescent="0.25">
      <c r="A141" s="23" t="s">
        <v>665</v>
      </c>
    </row>
    <row r="142" spans="1:1" x14ac:dyDescent="0.25">
      <c r="A142" s="23" t="s">
        <v>676</v>
      </c>
    </row>
    <row r="143" spans="1:1" x14ac:dyDescent="0.25">
      <c r="A143" s="23" t="s">
        <v>660</v>
      </c>
    </row>
    <row r="144" spans="1:1" x14ac:dyDescent="0.25">
      <c r="A144" s="23" t="s">
        <v>661</v>
      </c>
    </row>
    <row r="145" spans="1:1" x14ac:dyDescent="0.25">
      <c r="A145" s="23" t="s">
        <v>669</v>
      </c>
    </row>
    <row r="146" spans="1:1" x14ac:dyDescent="0.25">
      <c r="A146" s="23" t="s">
        <v>669</v>
      </c>
    </row>
    <row r="147" spans="1:1" x14ac:dyDescent="0.25">
      <c r="A147" s="23" t="s">
        <v>665</v>
      </c>
    </row>
    <row r="148" spans="1:1" x14ac:dyDescent="0.25">
      <c r="A148" s="23" t="s">
        <v>667</v>
      </c>
    </row>
    <row r="149" spans="1:1" x14ac:dyDescent="0.25">
      <c r="A149" s="23" t="s">
        <v>669</v>
      </c>
    </row>
    <row r="150" spans="1:1" x14ac:dyDescent="0.25">
      <c r="A150" s="23" t="s">
        <v>665</v>
      </c>
    </row>
    <row r="151" spans="1:1" x14ac:dyDescent="0.25">
      <c r="A151" s="23" t="s">
        <v>669</v>
      </c>
    </row>
    <row r="152" spans="1:1" x14ac:dyDescent="0.25">
      <c r="A152" s="23" t="s">
        <v>661</v>
      </c>
    </row>
    <row r="153" spans="1:1" x14ac:dyDescent="0.25">
      <c r="A153" s="23" t="s">
        <v>667</v>
      </c>
    </row>
    <row r="154" spans="1:1" x14ac:dyDescent="0.25">
      <c r="A154" s="23" t="s">
        <v>666</v>
      </c>
    </row>
    <row r="155" spans="1:1" x14ac:dyDescent="0.25">
      <c r="A155" s="23" t="s">
        <v>661</v>
      </c>
    </row>
    <row r="156" spans="1:1" x14ac:dyDescent="0.25">
      <c r="A156" s="23" t="s">
        <v>669</v>
      </c>
    </row>
    <row r="157" spans="1:1" x14ac:dyDescent="0.25">
      <c r="A157" s="23" t="s">
        <v>661</v>
      </c>
    </row>
    <row r="158" spans="1:1" x14ac:dyDescent="0.25">
      <c r="A158" s="23" t="s">
        <v>665</v>
      </c>
    </row>
    <row r="159" spans="1:1" x14ac:dyDescent="0.25">
      <c r="A159" s="23" t="s">
        <v>661</v>
      </c>
    </row>
    <row r="160" spans="1:1" x14ac:dyDescent="0.25">
      <c r="A160" s="23" t="s">
        <v>673</v>
      </c>
    </row>
    <row r="161" spans="1:1" x14ac:dyDescent="0.25">
      <c r="A161" s="23" t="s">
        <v>661</v>
      </c>
    </row>
    <row r="162" spans="1:1" x14ac:dyDescent="0.25">
      <c r="A162" s="23" t="s">
        <v>661</v>
      </c>
    </row>
    <row r="163" spans="1:1" x14ac:dyDescent="0.25">
      <c r="A163" s="23" t="s">
        <v>661</v>
      </c>
    </row>
    <row r="164" spans="1:1" x14ac:dyDescent="0.25">
      <c r="A164" s="23" t="s">
        <v>661</v>
      </c>
    </row>
    <row r="165" spans="1:1" x14ac:dyDescent="0.25">
      <c r="A165" s="23" t="s">
        <v>668</v>
      </c>
    </row>
    <row r="166" spans="1:1" x14ac:dyDescent="0.25">
      <c r="A166" s="23" t="s">
        <v>661</v>
      </c>
    </row>
    <row r="167" spans="1:1" x14ac:dyDescent="0.25">
      <c r="A167" s="23" t="s">
        <v>669</v>
      </c>
    </row>
    <row r="168" spans="1:1" x14ac:dyDescent="0.25">
      <c r="A168" s="23" t="s">
        <v>669</v>
      </c>
    </row>
    <row r="169" spans="1:1" x14ac:dyDescent="0.25">
      <c r="A169" s="23" t="s">
        <v>667</v>
      </c>
    </row>
    <row r="170" spans="1:1" x14ac:dyDescent="0.25">
      <c r="A170" s="23" t="s">
        <v>667</v>
      </c>
    </row>
    <row r="171" spans="1:1" x14ac:dyDescent="0.25">
      <c r="A171" s="23" t="s">
        <v>667</v>
      </c>
    </row>
    <row r="172" spans="1:1" x14ac:dyDescent="0.25">
      <c r="A172" s="23" t="s">
        <v>667</v>
      </c>
    </row>
    <row r="173" spans="1:1" x14ac:dyDescent="0.25">
      <c r="A173" s="23" t="s">
        <v>667</v>
      </c>
    </row>
    <row r="174" spans="1:1" x14ac:dyDescent="0.25">
      <c r="A174" s="23" t="s">
        <v>669</v>
      </c>
    </row>
    <row r="175" spans="1:1" x14ac:dyDescent="0.25">
      <c r="A175" s="23" t="s">
        <v>667</v>
      </c>
    </row>
    <row r="176" spans="1:1" x14ac:dyDescent="0.25">
      <c r="A176" s="23" t="s">
        <v>670</v>
      </c>
    </row>
    <row r="177" spans="1:1" x14ac:dyDescent="0.25">
      <c r="A177" s="23" t="s">
        <v>661</v>
      </c>
    </row>
    <row r="178" spans="1:1" x14ac:dyDescent="0.25">
      <c r="A178" s="23" t="s">
        <v>669</v>
      </c>
    </row>
    <row r="179" spans="1:1" x14ac:dyDescent="0.25">
      <c r="A179" s="23" t="s">
        <v>667</v>
      </c>
    </row>
    <row r="180" spans="1:1" x14ac:dyDescent="0.25">
      <c r="A180" s="23" t="s">
        <v>667</v>
      </c>
    </row>
    <row r="181" spans="1:1" x14ac:dyDescent="0.25">
      <c r="A181" s="23" t="s">
        <v>667</v>
      </c>
    </row>
    <row r="182" spans="1:1" x14ac:dyDescent="0.25">
      <c r="A182" s="23" t="s">
        <v>664</v>
      </c>
    </row>
    <row r="183" spans="1:1" x14ac:dyDescent="0.25">
      <c r="A183" s="23" t="s">
        <v>667</v>
      </c>
    </row>
    <row r="184" spans="1:1" x14ac:dyDescent="0.25">
      <c r="A184" s="23" t="s">
        <v>667</v>
      </c>
    </row>
    <row r="185" spans="1:1" x14ac:dyDescent="0.25">
      <c r="A185" s="23" t="s">
        <v>667</v>
      </c>
    </row>
    <row r="186" spans="1:1" x14ac:dyDescent="0.25">
      <c r="A186" s="23" t="s">
        <v>675</v>
      </c>
    </row>
    <row r="187" spans="1:1" x14ac:dyDescent="0.25">
      <c r="A187" s="23" t="s">
        <v>671</v>
      </c>
    </row>
    <row r="188" spans="1:1" x14ac:dyDescent="0.25">
      <c r="A188" s="23" t="s">
        <v>663</v>
      </c>
    </row>
    <row r="189" spans="1:1" x14ac:dyDescent="0.25">
      <c r="A189" s="23" t="s">
        <v>661</v>
      </c>
    </row>
    <row r="190" spans="1:1" x14ac:dyDescent="0.25">
      <c r="A190" s="23" t="s">
        <v>669</v>
      </c>
    </row>
    <row r="191" spans="1:1" x14ac:dyDescent="0.25">
      <c r="A191" s="23" t="s">
        <v>669</v>
      </c>
    </row>
    <row r="192" spans="1:1" x14ac:dyDescent="0.25">
      <c r="A192" s="23" t="s">
        <v>667</v>
      </c>
    </row>
    <row r="193" spans="1:1" x14ac:dyDescent="0.25">
      <c r="A193" s="23" t="s">
        <v>669</v>
      </c>
    </row>
    <row r="194" spans="1:1" x14ac:dyDescent="0.25">
      <c r="A194" s="23" t="s">
        <v>667</v>
      </c>
    </row>
    <row r="195" spans="1:1" x14ac:dyDescent="0.25">
      <c r="A195" s="23" t="s">
        <v>669</v>
      </c>
    </row>
    <row r="196" spans="1:1" x14ac:dyDescent="0.25">
      <c r="A196" s="23" t="s">
        <v>669</v>
      </c>
    </row>
    <row r="197" spans="1:1" x14ac:dyDescent="0.25">
      <c r="A197" s="23" t="s">
        <v>669</v>
      </c>
    </row>
    <row r="198" spans="1:1" x14ac:dyDescent="0.25">
      <c r="A198" s="23" t="s">
        <v>672</v>
      </c>
    </row>
    <row r="199" spans="1:1" x14ac:dyDescent="0.25">
      <c r="A199" s="23" t="s">
        <v>663</v>
      </c>
    </row>
    <row r="200" spans="1:1" x14ac:dyDescent="0.25">
      <c r="A200" s="23" t="s">
        <v>663</v>
      </c>
    </row>
    <row r="201" spans="1:1" x14ac:dyDescent="0.25">
      <c r="A201" s="23" t="s">
        <v>663</v>
      </c>
    </row>
    <row r="202" spans="1:1" x14ac:dyDescent="0.25">
      <c r="A202" s="23" t="s">
        <v>663</v>
      </c>
    </row>
    <row r="203" spans="1:1" x14ac:dyDescent="0.25">
      <c r="A203" s="23" t="s">
        <v>663</v>
      </c>
    </row>
    <row r="204" spans="1:1" x14ac:dyDescent="0.25">
      <c r="A204" s="23" t="s">
        <v>665</v>
      </c>
    </row>
    <row r="205" spans="1:1" x14ac:dyDescent="0.25">
      <c r="A205" s="23" t="s">
        <v>669</v>
      </c>
    </row>
    <row r="206" spans="1:1" x14ac:dyDescent="0.25">
      <c r="A206" s="23" t="s">
        <v>669</v>
      </c>
    </row>
    <row r="207" spans="1:1" x14ac:dyDescent="0.25">
      <c r="A207" s="23" t="s">
        <v>667</v>
      </c>
    </row>
    <row r="208" spans="1:1" x14ac:dyDescent="0.25">
      <c r="A208" s="23" t="s">
        <v>669</v>
      </c>
    </row>
    <row r="209" spans="1:1" x14ac:dyDescent="0.25">
      <c r="A209" s="23" t="s">
        <v>677</v>
      </c>
    </row>
    <row r="210" spans="1:1" x14ac:dyDescent="0.25">
      <c r="A210" s="23" t="s">
        <v>660</v>
      </c>
    </row>
    <row r="211" spans="1:1" x14ac:dyDescent="0.25">
      <c r="A211" s="23" t="s">
        <v>664</v>
      </c>
    </row>
    <row r="212" spans="1:1" x14ac:dyDescent="0.25">
      <c r="A212" s="23" t="s">
        <v>669</v>
      </c>
    </row>
    <row r="213" spans="1:1" x14ac:dyDescent="0.25">
      <c r="A213" s="23" t="s">
        <v>669</v>
      </c>
    </row>
    <row r="214" spans="1:1" x14ac:dyDescent="0.25">
      <c r="A214" s="23" t="s">
        <v>669</v>
      </c>
    </row>
    <row r="215" spans="1:1" x14ac:dyDescent="0.25">
      <c r="A215" s="23" t="s">
        <v>661</v>
      </c>
    </row>
    <row r="216" spans="1:1" x14ac:dyDescent="0.25">
      <c r="A216" s="23" t="s">
        <v>669</v>
      </c>
    </row>
    <row r="217" spans="1:1" x14ac:dyDescent="0.25">
      <c r="A217" s="23" t="s">
        <v>667</v>
      </c>
    </row>
    <row r="218" spans="1:1" x14ac:dyDescent="0.25">
      <c r="A218" s="23" t="s">
        <v>667</v>
      </c>
    </row>
    <row r="219" spans="1:1" x14ac:dyDescent="0.25">
      <c r="A219" s="23" t="s">
        <v>667</v>
      </c>
    </row>
    <row r="220" spans="1:1" x14ac:dyDescent="0.25">
      <c r="A220" s="23" t="s">
        <v>667</v>
      </c>
    </row>
    <row r="221" spans="1:1" x14ac:dyDescent="0.25">
      <c r="A221" s="23" t="s">
        <v>666</v>
      </c>
    </row>
    <row r="222" spans="1:1" x14ac:dyDescent="0.25">
      <c r="A222" s="23" t="s">
        <v>669</v>
      </c>
    </row>
    <row r="223" spans="1:1" x14ac:dyDescent="0.25">
      <c r="A223" s="23" t="s">
        <v>667</v>
      </c>
    </row>
    <row r="224" spans="1:1" x14ac:dyDescent="0.25">
      <c r="A224" s="23" t="s">
        <v>667</v>
      </c>
    </row>
    <row r="225" spans="1:1" x14ac:dyDescent="0.25">
      <c r="A225" s="23" t="s">
        <v>669</v>
      </c>
    </row>
    <row r="226" spans="1:1" x14ac:dyDescent="0.25">
      <c r="A226" s="23" t="s">
        <v>663</v>
      </c>
    </row>
    <row r="227" spans="1:1" x14ac:dyDescent="0.25">
      <c r="A227" s="23" t="s">
        <v>673</v>
      </c>
    </row>
    <row r="228" spans="1:1" x14ac:dyDescent="0.25">
      <c r="A228" s="23" t="s">
        <v>663</v>
      </c>
    </row>
    <row r="229" spans="1:1" x14ac:dyDescent="0.25">
      <c r="A229" s="23" t="s">
        <v>667</v>
      </c>
    </row>
    <row r="230" spans="1:1" x14ac:dyDescent="0.25">
      <c r="A230" s="23" t="s">
        <v>667</v>
      </c>
    </row>
    <row r="231" spans="1:1" x14ac:dyDescent="0.25">
      <c r="A231" s="23" t="s">
        <v>669</v>
      </c>
    </row>
    <row r="232" spans="1:1" x14ac:dyDescent="0.25">
      <c r="A232" s="23" t="s">
        <v>668</v>
      </c>
    </row>
    <row r="233" spans="1:1" x14ac:dyDescent="0.25">
      <c r="A233" s="23" t="s">
        <v>669</v>
      </c>
    </row>
    <row r="234" spans="1:1" x14ac:dyDescent="0.25">
      <c r="A234" s="23" t="s">
        <v>669</v>
      </c>
    </row>
    <row r="235" spans="1:1" x14ac:dyDescent="0.25">
      <c r="A235" s="23" t="s">
        <v>669</v>
      </c>
    </row>
    <row r="236" spans="1:1" x14ac:dyDescent="0.25">
      <c r="A236" s="23" t="s">
        <v>667</v>
      </c>
    </row>
    <row r="237" spans="1:1" x14ac:dyDescent="0.25">
      <c r="A237" s="23" t="s">
        <v>661</v>
      </c>
    </row>
    <row r="238" spans="1:1" x14ac:dyDescent="0.25">
      <c r="A238" s="23" t="s">
        <v>669</v>
      </c>
    </row>
    <row r="239" spans="1:1" x14ac:dyDescent="0.25">
      <c r="A239" s="23" t="s">
        <v>669</v>
      </c>
    </row>
    <row r="240" spans="1:1" x14ac:dyDescent="0.25">
      <c r="A240" s="23" t="s">
        <v>667</v>
      </c>
    </row>
    <row r="241" spans="1:1" x14ac:dyDescent="0.25">
      <c r="A241" s="23" t="s">
        <v>667</v>
      </c>
    </row>
    <row r="242" spans="1:1" x14ac:dyDescent="0.25">
      <c r="A242" s="23" t="s">
        <v>661</v>
      </c>
    </row>
    <row r="243" spans="1:1" x14ac:dyDescent="0.25">
      <c r="A243" s="23" t="s">
        <v>670</v>
      </c>
    </row>
    <row r="244" spans="1:1" x14ac:dyDescent="0.25">
      <c r="A244" s="23" t="s">
        <v>669</v>
      </c>
    </row>
    <row r="245" spans="1:1" x14ac:dyDescent="0.25">
      <c r="A245" s="23" t="s">
        <v>667</v>
      </c>
    </row>
    <row r="246" spans="1:1" x14ac:dyDescent="0.25">
      <c r="A246" s="23" t="s">
        <v>669</v>
      </c>
    </row>
    <row r="247" spans="1:1" x14ac:dyDescent="0.25">
      <c r="A247" s="23" t="s">
        <v>661</v>
      </c>
    </row>
    <row r="248" spans="1:1" x14ac:dyDescent="0.25">
      <c r="A248" s="23" t="s">
        <v>661</v>
      </c>
    </row>
    <row r="249" spans="1:1" x14ac:dyDescent="0.25">
      <c r="A249" s="23" t="s">
        <v>669</v>
      </c>
    </row>
    <row r="250" spans="1:1" x14ac:dyDescent="0.25">
      <c r="A250" s="23" t="s">
        <v>662</v>
      </c>
    </row>
    <row r="251" spans="1:1" x14ac:dyDescent="0.25">
      <c r="A251" s="23" t="s">
        <v>669</v>
      </c>
    </row>
    <row r="252" spans="1:1" x14ac:dyDescent="0.25">
      <c r="A252" s="23" t="s">
        <v>669</v>
      </c>
    </row>
    <row r="253" spans="1:1" x14ac:dyDescent="0.25">
      <c r="A253" s="23" t="s">
        <v>667</v>
      </c>
    </row>
    <row r="254" spans="1:1" x14ac:dyDescent="0.25">
      <c r="A254" s="23" t="s">
        <v>671</v>
      </c>
    </row>
    <row r="255" spans="1:1" x14ac:dyDescent="0.25">
      <c r="A255" s="23" t="s">
        <v>664</v>
      </c>
    </row>
    <row r="256" spans="1:1" x14ac:dyDescent="0.25">
      <c r="A256" s="23" t="s">
        <v>664</v>
      </c>
    </row>
    <row r="257" spans="1:1" x14ac:dyDescent="0.25">
      <c r="A257" s="23" t="s">
        <v>663</v>
      </c>
    </row>
    <row r="258" spans="1:1" x14ac:dyDescent="0.25">
      <c r="A258" s="23" t="s">
        <v>664</v>
      </c>
    </row>
    <row r="259" spans="1:1" x14ac:dyDescent="0.25">
      <c r="A259" s="23" t="s">
        <v>665</v>
      </c>
    </row>
    <row r="260" spans="1:1" x14ac:dyDescent="0.25">
      <c r="A260" s="23" t="s">
        <v>673</v>
      </c>
    </row>
    <row r="261" spans="1:1" x14ac:dyDescent="0.25">
      <c r="A261" s="23" t="s">
        <v>665</v>
      </c>
    </row>
    <row r="262" spans="1:1" x14ac:dyDescent="0.25">
      <c r="A262" s="23" t="s">
        <v>665</v>
      </c>
    </row>
    <row r="263" spans="1:1" x14ac:dyDescent="0.25">
      <c r="A263" s="23" t="s">
        <v>665</v>
      </c>
    </row>
    <row r="264" spans="1:1" x14ac:dyDescent="0.25">
      <c r="A264" s="23" t="s">
        <v>665</v>
      </c>
    </row>
    <row r="265" spans="1:1" x14ac:dyDescent="0.25">
      <c r="A265" s="23" t="s">
        <v>672</v>
      </c>
    </row>
    <row r="266" spans="1:1" x14ac:dyDescent="0.25">
      <c r="A266" s="23" t="s">
        <v>661</v>
      </c>
    </row>
    <row r="267" spans="1:1" x14ac:dyDescent="0.25">
      <c r="A267" s="23" t="s">
        <v>661</v>
      </c>
    </row>
    <row r="268" spans="1:1" x14ac:dyDescent="0.25">
      <c r="A268" s="23" t="s">
        <v>664</v>
      </c>
    </row>
    <row r="269" spans="1:1" x14ac:dyDescent="0.25">
      <c r="A269" s="23" t="s">
        <v>669</v>
      </c>
    </row>
    <row r="270" spans="1:1" x14ac:dyDescent="0.25">
      <c r="A270" s="23" t="s">
        <v>669</v>
      </c>
    </row>
    <row r="271" spans="1:1" x14ac:dyDescent="0.25">
      <c r="A271" s="23" t="s">
        <v>665</v>
      </c>
    </row>
    <row r="272" spans="1:1" x14ac:dyDescent="0.25">
      <c r="A272" s="23" t="s">
        <v>665</v>
      </c>
    </row>
    <row r="273" spans="1:1" x14ac:dyDescent="0.25">
      <c r="A273" s="23" t="s">
        <v>667</v>
      </c>
    </row>
    <row r="274" spans="1:1" x14ac:dyDescent="0.25">
      <c r="A274" s="23" t="s">
        <v>673</v>
      </c>
    </row>
    <row r="275" spans="1:1" x14ac:dyDescent="0.25">
      <c r="A275" s="23" t="s">
        <v>669</v>
      </c>
    </row>
    <row r="276" spans="1:1" x14ac:dyDescent="0.25">
      <c r="A276" s="23" t="s">
        <v>678</v>
      </c>
    </row>
    <row r="277" spans="1:1" x14ac:dyDescent="0.25">
      <c r="A277" s="23" t="s">
        <v>660</v>
      </c>
    </row>
    <row r="278" spans="1:1" x14ac:dyDescent="0.25">
      <c r="A278" s="23" t="s">
        <v>667</v>
      </c>
    </row>
    <row r="279" spans="1:1" x14ac:dyDescent="0.25">
      <c r="A279" s="23" t="s">
        <v>667</v>
      </c>
    </row>
    <row r="280" spans="1:1" x14ac:dyDescent="0.25">
      <c r="A280" s="23" t="s">
        <v>669</v>
      </c>
    </row>
    <row r="281" spans="1:1" x14ac:dyDescent="0.25">
      <c r="A281" s="23" t="s">
        <v>667</v>
      </c>
    </row>
    <row r="282" spans="1:1" x14ac:dyDescent="0.25">
      <c r="A282" s="23" t="s">
        <v>667</v>
      </c>
    </row>
    <row r="283" spans="1:1" x14ac:dyDescent="0.25">
      <c r="A283" s="23" t="s">
        <v>667</v>
      </c>
    </row>
    <row r="284" spans="1:1" x14ac:dyDescent="0.25">
      <c r="A284" s="23" t="s">
        <v>661</v>
      </c>
    </row>
    <row r="285" spans="1:1" x14ac:dyDescent="0.25">
      <c r="A285" s="23" t="s">
        <v>661</v>
      </c>
    </row>
    <row r="286" spans="1:1" x14ac:dyDescent="0.25">
      <c r="A286" s="23" t="s">
        <v>667</v>
      </c>
    </row>
    <row r="287" spans="1:1" x14ac:dyDescent="0.25">
      <c r="A287" s="23" t="s">
        <v>669</v>
      </c>
    </row>
    <row r="288" spans="1:1" x14ac:dyDescent="0.25">
      <c r="A288" s="23" t="s">
        <v>666</v>
      </c>
    </row>
    <row r="289" spans="1:1" x14ac:dyDescent="0.25">
      <c r="A289" s="23" t="s">
        <v>661</v>
      </c>
    </row>
    <row r="290" spans="1:1" x14ac:dyDescent="0.25">
      <c r="A290" s="23" t="s">
        <v>667</v>
      </c>
    </row>
    <row r="291" spans="1:1" x14ac:dyDescent="0.25">
      <c r="A291" s="23" t="s">
        <v>661</v>
      </c>
    </row>
    <row r="292" spans="1:1" x14ac:dyDescent="0.25">
      <c r="A292" s="23" t="s">
        <v>661</v>
      </c>
    </row>
    <row r="293" spans="1:1" x14ac:dyDescent="0.25">
      <c r="A293" s="23" t="s">
        <v>675</v>
      </c>
    </row>
    <row r="294" spans="1:1" x14ac:dyDescent="0.25">
      <c r="A294" s="23" t="s">
        <v>661</v>
      </c>
    </row>
    <row r="295" spans="1:1" x14ac:dyDescent="0.25">
      <c r="A295" s="23" t="s">
        <v>661</v>
      </c>
    </row>
    <row r="296" spans="1:1" x14ac:dyDescent="0.25">
      <c r="A296" s="23" t="s">
        <v>663</v>
      </c>
    </row>
    <row r="297" spans="1:1" x14ac:dyDescent="0.25">
      <c r="A297" s="23" t="s">
        <v>664</v>
      </c>
    </row>
    <row r="298" spans="1:1" x14ac:dyDescent="0.25">
      <c r="A298" s="23" t="s">
        <v>667</v>
      </c>
    </row>
    <row r="299" spans="1:1" x14ac:dyDescent="0.25">
      <c r="A299" s="23" t="s">
        <v>668</v>
      </c>
    </row>
    <row r="300" spans="1:1" x14ac:dyDescent="0.25">
      <c r="A300" s="23" t="s">
        <v>669</v>
      </c>
    </row>
    <row r="301" spans="1:1" x14ac:dyDescent="0.25">
      <c r="A301" s="23" t="s">
        <v>661</v>
      </c>
    </row>
    <row r="302" spans="1:1" x14ac:dyDescent="0.25">
      <c r="A302" s="23" t="s">
        <v>667</v>
      </c>
    </row>
    <row r="303" spans="1:1" x14ac:dyDescent="0.25">
      <c r="A303" s="23" t="s">
        <v>675</v>
      </c>
    </row>
    <row r="304" spans="1:1" x14ac:dyDescent="0.25">
      <c r="A304" s="23" t="s">
        <v>675</v>
      </c>
    </row>
    <row r="305" spans="1:1" x14ac:dyDescent="0.25">
      <c r="A305" s="23" t="s">
        <v>669</v>
      </c>
    </row>
    <row r="306" spans="1:1" x14ac:dyDescent="0.25">
      <c r="A306" s="23" t="s">
        <v>661</v>
      </c>
    </row>
    <row r="307" spans="1:1" x14ac:dyDescent="0.25">
      <c r="A307" s="23" t="s">
        <v>667</v>
      </c>
    </row>
    <row r="308" spans="1:1" x14ac:dyDescent="0.25">
      <c r="A308" s="23" t="s">
        <v>665</v>
      </c>
    </row>
    <row r="309" spans="1:1" x14ac:dyDescent="0.25">
      <c r="A309" s="23" t="s">
        <v>669</v>
      </c>
    </row>
    <row r="310" spans="1:1" x14ac:dyDescent="0.25">
      <c r="A310" s="23" t="s">
        <v>670</v>
      </c>
    </row>
    <row r="311" spans="1:1" x14ac:dyDescent="0.25">
      <c r="A311" s="23" t="s">
        <v>669</v>
      </c>
    </row>
    <row r="312" spans="1:1" x14ac:dyDescent="0.25">
      <c r="A312" s="23" t="s">
        <v>661</v>
      </c>
    </row>
    <row r="313" spans="1:1" x14ac:dyDescent="0.25">
      <c r="A313" s="23" t="s">
        <v>661</v>
      </c>
    </row>
    <row r="314" spans="1:1" x14ac:dyDescent="0.25">
      <c r="A314" s="23" t="s">
        <v>664</v>
      </c>
    </row>
    <row r="315" spans="1:1" x14ac:dyDescent="0.25">
      <c r="A315" s="23" t="s">
        <v>675</v>
      </c>
    </row>
    <row r="316" spans="1:1" x14ac:dyDescent="0.25">
      <c r="A316" s="23" t="s">
        <v>661</v>
      </c>
    </row>
    <row r="317" spans="1:1" x14ac:dyDescent="0.25">
      <c r="A317" s="23" t="s">
        <v>667</v>
      </c>
    </row>
    <row r="318" spans="1:1" x14ac:dyDescent="0.25">
      <c r="A318" s="23" t="s">
        <v>669</v>
      </c>
    </row>
    <row r="319" spans="1:1" x14ac:dyDescent="0.25">
      <c r="A319" s="23" t="s">
        <v>673</v>
      </c>
    </row>
    <row r="320" spans="1:1" x14ac:dyDescent="0.25">
      <c r="A320" s="23" t="s">
        <v>673</v>
      </c>
    </row>
    <row r="321" spans="1:1" x14ac:dyDescent="0.25">
      <c r="A321" s="23" t="s">
        <v>671</v>
      </c>
    </row>
    <row r="322" spans="1:1" x14ac:dyDescent="0.25">
      <c r="A322" s="23" t="s">
        <v>661</v>
      </c>
    </row>
    <row r="323" spans="1:1" x14ac:dyDescent="0.25">
      <c r="A323" s="23" t="s">
        <v>664</v>
      </c>
    </row>
    <row r="324" spans="1:1" x14ac:dyDescent="0.25">
      <c r="A324" s="23" t="s">
        <v>663</v>
      </c>
    </row>
    <row r="325" spans="1:1" x14ac:dyDescent="0.25">
      <c r="A325" s="23" t="s">
        <v>665</v>
      </c>
    </row>
    <row r="326" spans="1:1" x14ac:dyDescent="0.25">
      <c r="A326" s="23" t="s">
        <v>673</v>
      </c>
    </row>
    <row r="327" spans="1:1" x14ac:dyDescent="0.25">
      <c r="A327" s="23" t="s">
        <v>663</v>
      </c>
    </row>
    <row r="328" spans="1:1" x14ac:dyDescent="0.25">
      <c r="A328" s="23" t="s">
        <v>664</v>
      </c>
    </row>
    <row r="329" spans="1:1" x14ac:dyDescent="0.25">
      <c r="A329" s="23" t="s">
        <v>673</v>
      </c>
    </row>
    <row r="330" spans="1:1" x14ac:dyDescent="0.25">
      <c r="A330" s="23" t="s">
        <v>663</v>
      </c>
    </row>
    <row r="331" spans="1:1" x14ac:dyDescent="0.25">
      <c r="A331" s="23" t="s">
        <v>661</v>
      </c>
    </row>
    <row r="332" spans="1:1" x14ac:dyDescent="0.25">
      <c r="A332" s="23" t="s">
        <v>672</v>
      </c>
    </row>
    <row r="333" spans="1:1" x14ac:dyDescent="0.25">
      <c r="A333" s="23" t="s">
        <v>661</v>
      </c>
    </row>
    <row r="334" spans="1:1" x14ac:dyDescent="0.25">
      <c r="A334" s="23" t="s">
        <v>661</v>
      </c>
    </row>
    <row r="335" spans="1:1" x14ac:dyDescent="0.25">
      <c r="A335" s="23" t="s">
        <v>661</v>
      </c>
    </row>
    <row r="336" spans="1:1" x14ac:dyDescent="0.25">
      <c r="A336" s="23" t="s">
        <v>669</v>
      </c>
    </row>
    <row r="337" spans="1:1" x14ac:dyDescent="0.25">
      <c r="A337" s="23" t="s">
        <v>669</v>
      </c>
    </row>
    <row r="338" spans="1:1" x14ac:dyDescent="0.25">
      <c r="A338" s="23" t="s">
        <v>669</v>
      </c>
    </row>
    <row r="339" spans="1:1" x14ac:dyDescent="0.25">
      <c r="A339" s="23" t="s">
        <v>669</v>
      </c>
    </row>
    <row r="340" spans="1:1" x14ac:dyDescent="0.25">
      <c r="A340" s="23" t="s">
        <v>673</v>
      </c>
    </row>
    <row r="341" spans="1:1" x14ac:dyDescent="0.25">
      <c r="A341" s="23" t="s">
        <v>669</v>
      </c>
    </row>
    <row r="342" spans="1:1" x14ac:dyDescent="0.25">
      <c r="A342" s="23" t="s">
        <v>669</v>
      </c>
    </row>
    <row r="343" spans="1:1" x14ac:dyDescent="0.25">
      <c r="A343" s="23" t="s">
        <v>679</v>
      </c>
    </row>
    <row r="344" spans="1:1" x14ac:dyDescent="0.25">
      <c r="A344" s="23" t="s">
        <v>660</v>
      </c>
    </row>
    <row r="345" spans="1:1" x14ac:dyDescent="0.25">
      <c r="A345" s="23" t="s">
        <v>661</v>
      </c>
    </row>
    <row r="346" spans="1:1" x14ac:dyDescent="0.25">
      <c r="A346" s="23" t="s">
        <v>667</v>
      </c>
    </row>
    <row r="347" spans="1:1" x14ac:dyDescent="0.25">
      <c r="A347" s="23" t="s">
        <v>662</v>
      </c>
    </row>
    <row r="348" spans="1:1" x14ac:dyDescent="0.25">
      <c r="A348" s="23" t="s">
        <v>663</v>
      </c>
    </row>
    <row r="349" spans="1:1" x14ac:dyDescent="0.25">
      <c r="A349" s="23" t="s">
        <v>662</v>
      </c>
    </row>
    <row r="350" spans="1:1" x14ac:dyDescent="0.25">
      <c r="A350" s="23" t="s">
        <v>673</v>
      </c>
    </row>
    <row r="351" spans="1:1" x14ac:dyDescent="0.25">
      <c r="A351" s="23" t="s">
        <v>665</v>
      </c>
    </row>
    <row r="352" spans="1:1" x14ac:dyDescent="0.25">
      <c r="A352" s="23" t="s">
        <v>663</v>
      </c>
    </row>
    <row r="353" spans="1:1" x14ac:dyDescent="0.25">
      <c r="A353" s="23" t="s">
        <v>665</v>
      </c>
    </row>
    <row r="354" spans="1:1" x14ac:dyDescent="0.25">
      <c r="A354" s="23" t="s">
        <v>675</v>
      </c>
    </row>
    <row r="355" spans="1:1" x14ac:dyDescent="0.25">
      <c r="A355" s="23" t="s">
        <v>666</v>
      </c>
    </row>
    <row r="356" spans="1:1" x14ac:dyDescent="0.25">
      <c r="A356" s="23" t="s">
        <v>669</v>
      </c>
    </row>
    <row r="357" spans="1:1" x14ac:dyDescent="0.25">
      <c r="A357" s="23" t="s">
        <v>669</v>
      </c>
    </row>
    <row r="358" spans="1:1" x14ac:dyDescent="0.25">
      <c r="A358" s="23" t="s">
        <v>673</v>
      </c>
    </row>
    <row r="359" spans="1:1" x14ac:dyDescent="0.25">
      <c r="A359" s="23" t="s">
        <v>665</v>
      </c>
    </row>
    <row r="360" spans="1:1" x14ac:dyDescent="0.25">
      <c r="A360" s="23" t="s">
        <v>663</v>
      </c>
    </row>
    <row r="361" spans="1:1" x14ac:dyDescent="0.25">
      <c r="A361" s="23" t="s">
        <v>673</v>
      </c>
    </row>
    <row r="362" spans="1:1" x14ac:dyDescent="0.25">
      <c r="A362" s="23" t="s">
        <v>667</v>
      </c>
    </row>
    <row r="363" spans="1:1" x14ac:dyDescent="0.25">
      <c r="A363" s="23" t="s">
        <v>663</v>
      </c>
    </row>
    <row r="364" spans="1:1" x14ac:dyDescent="0.25">
      <c r="A364" s="23" t="s">
        <v>675</v>
      </c>
    </row>
    <row r="365" spans="1:1" x14ac:dyDescent="0.25">
      <c r="A365" s="23" t="s">
        <v>673</v>
      </c>
    </row>
    <row r="366" spans="1:1" x14ac:dyDescent="0.25">
      <c r="A366" s="23" t="s">
        <v>668</v>
      </c>
    </row>
    <row r="367" spans="1:1" x14ac:dyDescent="0.25">
      <c r="A367" s="23" t="s">
        <v>664</v>
      </c>
    </row>
    <row r="368" spans="1:1" x14ac:dyDescent="0.25">
      <c r="A368" s="23" t="s">
        <v>661</v>
      </c>
    </row>
    <row r="369" spans="1:1" x14ac:dyDescent="0.25">
      <c r="A369" s="23" t="s">
        <v>661</v>
      </c>
    </row>
    <row r="370" spans="1:1" x14ac:dyDescent="0.25">
      <c r="A370" s="23" t="s">
        <v>661</v>
      </c>
    </row>
    <row r="371" spans="1:1" x14ac:dyDescent="0.25">
      <c r="A371" s="23" t="s">
        <v>669</v>
      </c>
    </row>
    <row r="372" spans="1:1" x14ac:dyDescent="0.25">
      <c r="A372" s="23" t="s">
        <v>673</v>
      </c>
    </row>
    <row r="373" spans="1:1" x14ac:dyDescent="0.25">
      <c r="A373" s="23" t="s">
        <v>669</v>
      </c>
    </row>
    <row r="374" spans="1:1" x14ac:dyDescent="0.25">
      <c r="A374" s="23" t="s">
        <v>667</v>
      </c>
    </row>
    <row r="375" spans="1:1" x14ac:dyDescent="0.25">
      <c r="A375" s="23" t="s">
        <v>664</v>
      </c>
    </row>
    <row r="376" spans="1:1" x14ac:dyDescent="0.25">
      <c r="A376" s="23" t="s">
        <v>667</v>
      </c>
    </row>
    <row r="377" spans="1:1" x14ac:dyDescent="0.25">
      <c r="A377" s="23" t="s">
        <v>670</v>
      </c>
    </row>
    <row r="378" spans="1:1" x14ac:dyDescent="0.25">
      <c r="A378" s="23" t="s">
        <v>661</v>
      </c>
    </row>
    <row r="379" spans="1:1" x14ac:dyDescent="0.25">
      <c r="A379" s="23" t="s">
        <v>661</v>
      </c>
    </row>
    <row r="380" spans="1:1" x14ac:dyDescent="0.25">
      <c r="A380" s="23" t="s">
        <v>663</v>
      </c>
    </row>
    <row r="381" spans="1:1" x14ac:dyDescent="0.25">
      <c r="A381" s="23" t="s">
        <v>663</v>
      </c>
    </row>
    <row r="382" spans="1:1" x14ac:dyDescent="0.25">
      <c r="A382" s="23" t="s">
        <v>661</v>
      </c>
    </row>
    <row r="383" spans="1:1" x14ac:dyDescent="0.25">
      <c r="A383" s="23" t="s">
        <v>673</v>
      </c>
    </row>
    <row r="384" spans="1:1" x14ac:dyDescent="0.25">
      <c r="A384" s="23" t="s">
        <v>673</v>
      </c>
    </row>
    <row r="385" spans="1:1" x14ac:dyDescent="0.25">
      <c r="A385" s="23" t="s">
        <v>663</v>
      </c>
    </row>
    <row r="386" spans="1:1" x14ac:dyDescent="0.25">
      <c r="A386" s="23" t="s">
        <v>675</v>
      </c>
    </row>
    <row r="387" spans="1:1" x14ac:dyDescent="0.25">
      <c r="A387" s="23" t="s">
        <v>667</v>
      </c>
    </row>
    <row r="388" spans="1:1" x14ac:dyDescent="0.25">
      <c r="A388" s="23" t="s">
        <v>671</v>
      </c>
    </row>
    <row r="389" spans="1:1" x14ac:dyDescent="0.25">
      <c r="A389" s="23" t="s">
        <v>661</v>
      </c>
    </row>
    <row r="390" spans="1:1" x14ac:dyDescent="0.25">
      <c r="A390" s="23" t="s">
        <v>661</v>
      </c>
    </row>
    <row r="391" spans="1:1" x14ac:dyDescent="0.25">
      <c r="A391" s="23" t="s">
        <v>661</v>
      </c>
    </row>
    <row r="392" spans="1:1" x14ac:dyDescent="0.25">
      <c r="A392" s="23" t="s">
        <v>661</v>
      </c>
    </row>
    <row r="393" spans="1:1" x14ac:dyDescent="0.25">
      <c r="A393" s="23" t="s">
        <v>669</v>
      </c>
    </row>
    <row r="394" spans="1:1" x14ac:dyDescent="0.25">
      <c r="A394" s="23" t="s">
        <v>661</v>
      </c>
    </row>
    <row r="395" spans="1:1" x14ac:dyDescent="0.25">
      <c r="A395" s="23" t="s">
        <v>661</v>
      </c>
    </row>
    <row r="396" spans="1:1" x14ac:dyDescent="0.25">
      <c r="A396" s="23" t="s">
        <v>663</v>
      </c>
    </row>
    <row r="397" spans="1:1" x14ac:dyDescent="0.25">
      <c r="A397" s="23" t="s">
        <v>667</v>
      </c>
    </row>
    <row r="398" spans="1:1" x14ac:dyDescent="0.25">
      <c r="A398" s="23" t="s">
        <v>667</v>
      </c>
    </row>
    <row r="399" spans="1:1" x14ac:dyDescent="0.25">
      <c r="A399" s="23" t="s">
        <v>672</v>
      </c>
    </row>
    <row r="400" spans="1:1" x14ac:dyDescent="0.25">
      <c r="A400" s="23" t="s">
        <v>661</v>
      </c>
    </row>
    <row r="401" spans="1:1" x14ac:dyDescent="0.25">
      <c r="A401" s="23" t="s">
        <v>661</v>
      </c>
    </row>
    <row r="402" spans="1:1" x14ac:dyDescent="0.25">
      <c r="A402" s="23" t="s">
        <v>661</v>
      </c>
    </row>
    <row r="403" spans="1:1" x14ac:dyDescent="0.25">
      <c r="A403" s="23" t="s">
        <v>661</v>
      </c>
    </row>
    <row r="404" spans="1:1" x14ac:dyDescent="0.25">
      <c r="A404" s="23" t="s">
        <v>661</v>
      </c>
    </row>
    <row r="405" spans="1:1" x14ac:dyDescent="0.25">
      <c r="A405" s="23" t="s">
        <v>669</v>
      </c>
    </row>
    <row r="406" spans="1:1" x14ac:dyDescent="0.25">
      <c r="A406" s="23" t="s">
        <v>661</v>
      </c>
    </row>
    <row r="407" spans="1:1" x14ac:dyDescent="0.25">
      <c r="A407" s="23" t="s">
        <v>661</v>
      </c>
    </row>
    <row r="408" spans="1:1" x14ac:dyDescent="0.25">
      <c r="A408" s="23" t="s">
        <v>661</v>
      </c>
    </row>
    <row r="409" spans="1:1" x14ac:dyDescent="0.25">
      <c r="A409" s="23" t="s">
        <v>661</v>
      </c>
    </row>
    <row r="410" spans="1:1" x14ac:dyDescent="0.25">
      <c r="A410" s="23" t="s">
        <v>680</v>
      </c>
    </row>
    <row r="411" spans="1:1" x14ac:dyDescent="0.25">
      <c r="A411" s="23" t="s">
        <v>660</v>
      </c>
    </row>
    <row r="412" spans="1:1" x14ac:dyDescent="0.25">
      <c r="A412" s="23" t="s">
        <v>669</v>
      </c>
    </row>
    <row r="413" spans="1:1" x14ac:dyDescent="0.25">
      <c r="A413" s="23" t="s">
        <v>663</v>
      </c>
    </row>
    <row r="414" spans="1:1" x14ac:dyDescent="0.25">
      <c r="A414" s="23" t="s">
        <v>661</v>
      </c>
    </row>
    <row r="415" spans="1:1" x14ac:dyDescent="0.25">
      <c r="A415" s="23" t="s">
        <v>663</v>
      </c>
    </row>
    <row r="416" spans="1:1" x14ac:dyDescent="0.25">
      <c r="A416" s="23" t="s">
        <v>663</v>
      </c>
    </row>
    <row r="417" spans="1:1" x14ac:dyDescent="0.25">
      <c r="A417" s="23" t="s">
        <v>662</v>
      </c>
    </row>
    <row r="418" spans="1:1" x14ac:dyDescent="0.25">
      <c r="A418" s="23" t="s">
        <v>669</v>
      </c>
    </row>
    <row r="419" spans="1:1" x14ac:dyDescent="0.25">
      <c r="A419" s="23" t="s">
        <v>662</v>
      </c>
    </row>
    <row r="420" spans="1:1" x14ac:dyDescent="0.25">
      <c r="A420" s="23" t="s">
        <v>667</v>
      </c>
    </row>
    <row r="421" spans="1:1" x14ac:dyDescent="0.25">
      <c r="A421" s="23" t="s">
        <v>663</v>
      </c>
    </row>
    <row r="422" spans="1:1" x14ac:dyDescent="0.25">
      <c r="A422" s="23" t="s">
        <v>666</v>
      </c>
    </row>
    <row r="423" spans="1:1" x14ac:dyDescent="0.25">
      <c r="A423" s="23" t="s">
        <v>664</v>
      </c>
    </row>
    <row r="424" spans="1:1" x14ac:dyDescent="0.25">
      <c r="A424" s="23" t="s">
        <v>664</v>
      </c>
    </row>
    <row r="425" spans="1:1" x14ac:dyDescent="0.25">
      <c r="A425" s="23" t="s">
        <v>661</v>
      </c>
    </row>
    <row r="426" spans="1:1" x14ac:dyDescent="0.25">
      <c r="A426" s="23" t="s">
        <v>667</v>
      </c>
    </row>
    <row r="427" spans="1:1" x14ac:dyDescent="0.25">
      <c r="A427" s="23" t="s">
        <v>665</v>
      </c>
    </row>
    <row r="428" spans="1:1" x14ac:dyDescent="0.25">
      <c r="A428" s="23" t="s">
        <v>661</v>
      </c>
    </row>
    <row r="429" spans="1:1" x14ac:dyDescent="0.25">
      <c r="A429" s="23" t="s">
        <v>673</v>
      </c>
    </row>
    <row r="430" spans="1:1" x14ac:dyDescent="0.25">
      <c r="A430" s="23" t="s">
        <v>661</v>
      </c>
    </row>
    <row r="431" spans="1:1" x14ac:dyDescent="0.25">
      <c r="A431" s="23" t="s">
        <v>669</v>
      </c>
    </row>
    <row r="432" spans="1:1" x14ac:dyDescent="0.25">
      <c r="A432" s="23" t="s">
        <v>675</v>
      </c>
    </row>
    <row r="433" spans="1:1" x14ac:dyDescent="0.25">
      <c r="A433" s="23" t="s">
        <v>668</v>
      </c>
    </row>
    <row r="434" spans="1:1" x14ac:dyDescent="0.25">
      <c r="A434" s="23" t="s">
        <v>663</v>
      </c>
    </row>
    <row r="435" spans="1:1" x14ac:dyDescent="0.25">
      <c r="A435" s="23" t="s">
        <v>665</v>
      </c>
    </row>
    <row r="436" spans="1:1" x14ac:dyDescent="0.25">
      <c r="A436" s="23" t="s">
        <v>669</v>
      </c>
    </row>
    <row r="437" spans="1:1" x14ac:dyDescent="0.25">
      <c r="A437" s="23" t="s">
        <v>663</v>
      </c>
    </row>
    <row r="438" spans="1:1" x14ac:dyDescent="0.25">
      <c r="A438" s="23" t="s">
        <v>667</v>
      </c>
    </row>
    <row r="439" spans="1:1" x14ac:dyDescent="0.25">
      <c r="A439" s="23" t="s">
        <v>669</v>
      </c>
    </row>
    <row r="440" spans="1:1" x14ac:dyDescent="0.25">
      <c r="A440" s="23" t="s">
        <v>669</v>
      </c>
    </row>
    <row r="441" spans="1:1" x14ac:dyDescent="0.25">
      <c r="A441" s="23" t="s">
        <v>675</v>
      </c>
    </row>
    <row r="442" spans="1:1" x14ac:dyDescent="0.25">
      <c r="A442" s="23" t="s">
        <v>664</v>
      </c>
    </row>
    <row r="443" spans="1:1" x14ac:dyDescent="0.25">
      <c r="A443" s="23" t="s">
        <v>667</v>
      </c>
    </row>
    <row r="444" spans="1:1" x14ac:dyDescent="0.25">
      <c r="A444" s="23" t="s">
        <v>670</v>
      </c>
    </row>
    <row r="445" spans="1:1" x14ac:dyDescent="0.25">
      <c r="A445" s="23" t="s">
        <v>661</v>
      </c>
    </row>
    <row r="446" spans="1:1" x14ac:dyDescent="0.25">
      <c r="A446" s="23" t="s">
        <v>669</v>
      </c>
    </row>
    <row r="447" spans="1:1" x14ac:dyDescent="0.25">
      <c r="A447" s="23" t="s">
        <v>667</v>
      </c>
    </row>
    <row r="448" spans="1:1" x14ac:dyDescent="0.25">
      <c r="A448" s="23" t="s">
        <v>665</v>
      </c>
    </row>
    <row r="449" spans="1:1" x14ac:dyDescent="0.25">
      <c r="A449" s="23" t="s">
        <v>663</v>
      </c>
    </row>
    <row r="450" spans="1:1" x14ac:dyDescent="0.25">
      <c r="A450" s="23" t="s">
        <v>665</v>
      </c>
    </row>
    <row r="451" spans="1:1" x14ac:dyDescent="0.25">
      <c r="A451" s="23" t="s">
        <v>673</v>
      </c>
    </row>
    <row r="452" spans="1:1" x14ac:dyDescent="0.25">
      <c r="A452" s="23" t="s">
        <v>665</v>
      </c>
    </row>
    <row r="453" spans="1:1" x14ac:dyDescent="0.25">
      <c r="A453" s="23" t="s">
        <v>665</v>
      </c>
    </row>
    <row r="454" spans="1:1" x14ac:dyDescent="0.25">
      <c r="A454" s="23" t="s">
        <v>665</v>
      </c>
    </row>
    <row r="455" spans="1:1" x14ac:dyDescent="0.25">
      <c r="A455" s="23" t="s">
        <v>671</v>
      </c>
    </row>
    <row r="456" spans="1:1" x14ac:dyDescent="0.25">
      <c r="A456" s="23" t="s">
        <v>661</v>
      </c>
    </row>
    <row r="457" spans="1:1" x14ac:dyDescent="0.25">
      <c r="A457" s="23" t="s">
        <v>664</v>
      </c>
    </row>
    <row r="458" spans="1:1" x14ac:dyDescent="0.25">
      <c r="A458" s="23" t="s">
        <v>663</v>
      </c>
    </row>
    <row r="459" spans="1:1" x14ac:dyDescent="0.25">
      <c r="A459" s="23" t="s">
        <v>669</v>
      </c>
    </row>
    <row r="460" spans="1:1" x14ac:dyDescent="0.25">
      <c r="A460" s="23" t="s">
        <v>661</v>
      </c>
    </row>
    <row r="461" spans="1:1" x14ac:dyDescent="0.25">
      <c r="A461" s="23" t="s">
        <v>664</v>
      </c>
    </row>
    <row r="462" spans="1:1" x14ac:dyDescent="0.25">
      <c r="A462" s="23" t="s">
        <v>673</v>
      </c>
    </row>
    <row r="463" spans="1:1" x14ac:dyDescent="0.25">
      <c r="A463" s="23" t="s">
        <v>673</v>
      </c>
    </row>
    <row r="464" spans="1:1" x14ac:dyDescent="0.25">
      <c r="A464" s="23" t="s">
        <v>661</v>
      </c>
    </row>
    <row r="465" spans="1:1" x14ac:dyDescent="0.25">
      <c r="A465" s="23" t="s">
        <v>664</v>
      </c>
    </row>
    <row r="466" spans="1:1" x14ac:dyDescent="0.25">
      <c r="A466" s="23" t="s">
        <v>672</v>
      </c>
    </row>
    <row r="467" spans="1:1" x14ac:dyDescent="0.25">
      <c r="A467" s="23" t="s">
        <v>661</v>
      </c>
    </row>
    <row r="468" spans="1:1" x14ac:dyDescent="0.25">
      <c r="A468" s="23" t="s">
        <v>664</v>
      </c>
    </row>
    <row r="469" spans="1:1" x14ac:dyDescent="0.25">
      <c r="A469" s="23" t="s">
        <v>661</v>
      </c>
    </row>
    <row r="470" spans="1:1" x14ac:dyDescent="0.25">
      <c r="A470" s="23" t="s">
        <v>661</v>
      </c>
    </row>
    <row r="471" spans="1:1" x14ac:dyDescent="0.25">
      <c r="A471" s="23" t="s">
        <v>664</v>
      </c>
    </row>
    <row r="472" spans="1:1" x14ac:dyDescent="0.25">
      <c r="A472" s="23" t="s">
        <v>669</v>
      </c>
    </row>
    <row r="473" spans="1:1" x14ac:dyDescent="0.25">
      <c r="A473" s="23" t="s">
        <v>661</v>
      </c>
    </row>
    <row r="474" spans="1:1" x14ac:dyDescent="0.25">
      <c r="A474" s="23" t="s">
        <v>661</v>
      </c>
    </row>
    <row r="475" spans="1:1" x14ac:dyDescent="0.25">
      <c r="A475" s="23" t="s">
        <v>661</v>
      </c>
    </row>
    <row r="476" spans="1:1" x14ac:dyDescent="0.25">
      <c r="A476" s="23" t="s">
        <v>669</v>
      </c>
    </row>
    <row r="477" spans="1:1" x14ac:dyDescent="0.25">
      <c r="A477" s="23" t="s">
        <v>681</v>
      </c>
    </row>
    <row r="478" spans="1:1" x14ac:dyDescent="0.25">
      <c r="A478" s="23" t="s">
        <v>660</v>
      </c>
    </row>
    <row r="479" spans="1:1" x14ac:dyDescent="0.25">
      <c r="A479" s="23" t="s">
        <v>661</v>
      </c>
    </row>
    <row r="480" spans="1:1" x14ac:dyDescent="0.25">
      <c r="A480" s="23" t="s">
        <v>663</v>
      </c>
    </row>
    <row r="481" spans="1:1" x14ac:dyDescent="0.25">
      <c r="A481" s="23" t="s">
        <v>663</v>
      </c>
    </row>
    <row r="482" spans="1:1" x14ac:dyDescent="0.25">
      <c r="A482" s="23" t="s">
        <v>664</v>
      </c>
    </row>
    <row r="483" spans="1:1" x14ac:dyDescent="0.25">
      <c r="A483" s="23" t="s">
        <v>664</v>
      </c>
    </row>
    <row r="484" spans="1:1" x14ac:dyDescent="0.25">
      <c r="A484" s="23" t="s">
        <v>663</v>
      </c>
    </row>
    <row r="485" spans="1:1" x14ac:dyDescent="0.25">
      <c r="A485" s="23" t="s">
        <v>673</v>
      </c>
    </row>
    <row r="486" spans="1:1" x14ac:dyDescent="0.25">
      <c r="A486" s="23" t="s">
        <v>673</v>
      </c>
    </row>
    <row r="487" spans="1:1" x14ac:dyDescent="0.25">
      <c r="A487" s="23" t="s">
        <v>662</v>
      </c>
    </row>
    <row r="488" spans="1:1" x14ac:dyDescent="0.25">
      <c r="A488" s="23" t="s">
        <v>664</v>
      </c>
    </row>
    <row r="489" spans="1:1" x14ac:dyDescent="0.25">
      <c r="A489" s="23" t="s">
        <v>666</v>
      </c>
    </row>
    <row r="490" spans="1:1" x14ac:dyDescent="0.25">
      <c r="A490" s="23" t="s">
        <v>664</v>
      </c>
    </row>
    <row r="491" spans="1:1" x14ac:dyDescent="0.25">
      <c r="A491" s="23" t="s">
        <v>663</v>
      </c>
    </row>
    <row r="492" spans="1:1" x14ac:dyDescent="0.25">
      <c r="A492" s="23" t="s">
        <v>663</v>
      </c>
    </row>
    <row r="493" spans="1:1" x14ac:dyDescent="0.25">
      <c r="A493" s="23" t="s">
        <v>667</v>
      </c>
    </row>
    <row r="494" spans="1:1" x14ac:dyDescent="0.25">
      <c r="A494" s="23" t="s">
        <v>669</v>
      </c>
    </row>
    <row r="495" spans="1:1" x14ac:dyDescent="0.25">
      <c r="A495" s="23" t="s">
        <v>667</v>
      </c>
    </row>
    <row r="496" spans="1:1" x14ac:dyDescent="0.25">
      <c r="A496" s="23" t="s">
        <v>661</v>
      </c>
    </row>
    <row r="497" spans="1:1" x14ac:dyDescent="0.25">
      <c r="A497" s="23" t="s">
        <v>661</v>
      </c>
    </row>
    <row r="498" spans="1:1" x14ac:dyDescent="0.25">
      <c r="A498" s="23" t="s">
        <v>664</v>
      </c>
    </row>
    <row r="499" spans="1:1" x14ac:dyDescent="0.25">
      <c r="A499" s="23" t="s">
        <v>665</v>
      </c>
    </row>
    <row r="500" spans="1:1" x14ac:dyDescent="0.25">
      <c r="A500" s="23" t="s">
        <v>668</v>
      </c>
    </row>
    <row r="501" spans="1:1" x14ac:dyDescent="0.25">
      <c r="A501" s="23" t="s">
        <v>664</v>
      </c>
    </row>
    <row r="502" spans="1:1" x14ac:dyDescent="0.25">
      <c r="A502" s="23" t="s">
        <v>664</v>
      </c>
    </row>
    <row r="503" spans="1:1" x14ac:dyDescent="0.25">
      <c r="A503" s="23" t="s">
        <v>663</v>
      </c>
    </row>
    <row r="504" spans="1:1" x14ac:dyDescent="0.25">
      <c r="A504" s="23" t="s">
        <v>665</v>
      </c>
    </row>
    <row r="505" spans="1:1" x14ac:dyDescent="0.25">
      <c r="A505" s="23" t="s">
        <v>661</v>
      </c>
    </row>
    <row r="506" spans="1:1" x14ac:dyDescent="0.25">
      <c r="A506" s="23" t="s">
        <v>667</v>
      </c>
    </row>
    <row r="507" spans="1:1" x14ac:dyDescent="0.25">
      <c r="A507" s="23" t="s">
        <v>669</v>
      </c>
    </row>
    <row r="508" spans="1:1" x14ac:dyDescent="0.25">
      <c r="A508" s="23" t="s">
        <v>667</v>
      </c>
    </row>
    <row r="509" spans="1:1" x14ac:dyDescent="0.25">
      <c r="A509" s="23" t="s">
        <v>667</v>
      </c>
    </row>
    <row r="510" spans="1:1" x14ac:dyDescent="0.25">
      <c r="A510" s="23" t="s">
        <v>662</v>
      </c>
    </row>
    <row r="511" spans="1:1" x14ac:dyDescent="0.25">
      <c r="A511" s="23" t="s">
        <v>670</v>
      </c>
    </row>
    <row r="512" spans="1:1" x14ac:dyDescent="0.25">
      <c r="A512" s="23" t="s">
        <v>663</v>
      </c>
    </row>
    <row r="513" spans="1:1" x14ac:dyDescent="0.25">
      <c r="A513" s="23" t="s">
        <v>663</v>
      </c>
    </row>
    <row r="514" spans="1:1" x14ac:dyDescent="0.25">
      <c r="A514" s="23" t="s">
        <v>669</v>
      </c>
    </row>
    <row r="515" spans="1:1" x14ac:dyDescent="0.25">
      <c r="A515" s="23" t="s">
        <v>669</v>
      </c>
    </row>
    <row r="516" spans="1:1" x14ac:dyDescent="0.25">
      <c r="A516" s="23" t="s">
        <v>669</v>
      </c>
    </row>
    <row r="517" spans="1:1" x14ac:dyDescent="0.25">
      <c r="A517" s="23" t="s">
        <v>663</v>
      </c>
    </row>
    <row r="518" spans="1:1" x14ac:dyDescent="0.25">
      <c r="A518" s="23" t="s">
        <v>662</v>
      </c>
    </row>
    <row r="519" spans="1:1" x14ac:dyDescent="0.25">
      <c r="A519" s="23" t="s">
        <v>669</v>
      </c>
    </row>
    <row r="520" spans="1:1" x14ac:dyDescent="0.25">
      <c r="A520" s="23" t="s">
        <v>665</v>
      </c>
    </row>
    <row r="521" spans="1:1" x14ac:dyDescent="0.25">
      <c r="A521" s="23" t="s">
        <v>663</v>
      </c>
    </row>
    <row r="522" spans="1:1" x14ac:dyDescent="0.25">
      <c r="A522" s="23" t="s">
        <v>671</v>
      </c>
    </row>
    <row r="523" spans="1:1" x14ac:dyDescent="0.25">
      <c r="A523" s="23" t="s">
        <v>661</v>
      </c>
    </row>
    <row r="524" spans="1:1" x14ac:dyDescent="0.25">
      <c r="A524" s="23" t="s">
        <v>669</v>
      </c>
    </row>
    <row r="525" spans="1:1" x14ac:dyDescent="0.25">
      <c r="A525" s="23" t="s">
        <v>664</v>
      </c>
    </row>
    <row r="526" spans="1:1" x14ac:dyDescent="0.25">
      <c r="A526" s="23" t="s">
        <v>664</v>
      </c>
    </row>
    <row r="527" spans="1:1" x14ac:dyDescent="0.25">
      <c r="A527" s="23" t="s">
        <v>664</v>
      </c>
    </row>
    <row r="528" spans="1:1" x14ac:dyDescent="0.25">
      <c r="A528" s="23" t="s">
        <v>673</v>
      </c>
    </row>
    <row r="529" spans="1:1" x14ac:dyDescent="0.25">
      <c r="A529" s="23" t="s">
        <v>664</v>
      </c>
    </row>
    <row r="530" spans="1:1" x14ac:dyDescent="0.25">
      <c r="A530" s="23" t="s">
        <v>673</v>
      </c>
    </row>
    <row r="531" spans="1:1" x14ac:dyDescent="0.25">
      <c r="A531" s="23" t="s">
        <v>664</v>
      </c>
    </row>
    <row r="532" spans="1:1" x14ac:dyDescent="0.25">
      <c r="A532" s="23" t="s">
        <v>667</v>
      </c>
    </row>
    <row r="533" spans="1:1" x14ac:dyDescent="0.25">
      <c r="A533" s="23" t="s">
        <v>672</v>
      </c>
    </row>
    <row r="534" spans="1:1" x14ac:dyDescent="0.25">
      <c r="A534" s="23" t="s">
        <v>661</v>
      </c>
    </row>
    <row r="535" spans="1:1" x14ac:dyDescent="0.25">
      <c r="A535" s="23" t="s">
        <v>661</v>
      </c>
    </row>
    <row r="536" spans="1:1" x14ac:dyDescent="0.25">
      <c r="A536" s="23" t="s">
        <v>661</v>
      </c>
    </row>
    <row r="537" spans="1:1" x14ac:dyDescent="0.25">
      <c r="A537" s="23" t="s">
        <v>661</v>
      </c>
    </row>
    <row r="538" spans="1:1" x14ac:dyDescent="0.25">
      <c r="A538" s="23" t="s">
        <v>669</v>
      </c>
    </row>
    <row r="539" spans="1:1" x14ac:dyDescent="0.25">
      <c r="A539" s="23" t="s">
        <v>663</v>
      </c>
    </row>
    <row r="540" spans="1:1" x14ac:dyDescent="0.25">
      <c r="A540" s="23" t="s">
        <v>669</v>
      </c>
    </row>
    <row r="541" spans="1:1" x14ac:dyDescent="0.25">
      <c r="A541" s="23" t="s">
        <v>663</v>
      </c>
    </row>
    <row r="542" spans="1:1" x14ac:dyDescent="0.25">
      <c r="A542" s="23" t="s">
        <v>661</v>
      </c>
    </row>
    <row r="543" spans="1:1" x14ac:dyDescent="0.25">
      <c r="A543" s="23" t="s">
        <v>669</v>
      </c>
    </row>
    <row r="544" spans="1:1" x14ac:dyDescent="0.25">
      <c r="A544" s="23" t="s">
        <v>682</v>
      </c>
    </row>
    <row r="545" spans="1:1" x14ac:dyDescent="0.25">
      <c r="A545" s="23" t="s">
        <v>660</v>
      </c>
    </row>
    <row r="546" spans="1:1" x14ac:dyDescent="0.25">
      <c r="A546" s="23" t="s">
        <v>661</v>
      </c>
    </row>
    <row r="547" spans="1:1" x14ac:dyDescent="0.25">
      <c r="A547" s="23" t="s">
        <v>664</v>
      </c>
    </row>
    <row r="548" spans="1:1" x14ac:dyDescent="0.25">
      <c r="A548" s="23" t="s">
        <v>665</v>
      </c>
    </row>
    <row r="549" spans="1:1" x14ac:dyDescent="0.25">
      <c r="A549" s="23" t="s">
        <v>661</v>
      </c>
    </row>
    <row r="550" spans="1:1" x14ac:dyDescent="0.25">
      <c r="A550" s="23" t="s">
        <v>661</v>
      </c>
    </row>
    <row r="551" spans="1:1" x14ac:dyDescent="0.25">
      <c r="A551" s="23" t="s">
        <v>673</v>
      </c>
    </row>
    <row r="552" spans="1:1" x14ac:dyDescent="0.25">
      <c r="A552" s="23" t="s">
        <v>675</v>
      </c>
    </row>
    <row r="553" spans="1:1" x14ac:dyDescent="0.25">
      <c r="A553" s="23" t="s">
        <v>662</v>
      </c>
    </row>
    <row r="554" spans="1:1" x14ac:dyDescent="0.25">
      <c r="A554" s="23" t="s">
        <v>665</v>
      </c>
    </row>
    <row r="555" spans="1:1" x14ac:dyDescent="0.25">
      <c r="A555" s="23" t="s">
        <v>663</v>
      </c>
    </row>
    <row r="556" spans="1:1" x14ac:dyDescent="0.25">
      <c r="A556" s="23" t="s">
        <v>666</v>
      </c>
    </row>
    <row r="557" spans="1:1" x14ac:dyDescent="0.25">
      <c r="A557" s="23" t="s">
        <v>669</v>
      </c>
    </row>
    <row r="558" spans="1:1" x14ac:dyDescent="0.25">
      <c r="A558" s="23" t="s">
        <v>665</v>
      </c>
    </row>
    <row r="559" spans="1:1" x14ac:dyDescent="0.25">
      <c r="A559" s="23" t="s">
        <v>664</v>
      </c>
    </row>
    <row r="560" spans="1:1" x14ac:dyDescent="0.25">
      <c r="A560" s="23" t="s">
        <v>665</v>
      </c>
    </row>
    <row r="561" spans="1:1" x14ac:dyDescent="0.25">
      <c r="A561" s="23" t="s">
        <v>673</v>
      </c>
    </row>
    <row r="562" spans="1:1" x14ac:dyDescent="0.25">
      <c r="A562" s="23" t="s">
        <v>661</v>
      </c>
    </row>
    <row r="563" spans="1:1" x14ac:dyDescent="0.25">
      <c r="A563" s="23" t="s">
        <v>663</v>
      </c>
    </row>
    <row r="564" spans="1:1" x14ac:dyDescent="0.25">
      <c r="A564" s="23" t="s">
        <v>663</v>
      </c>
    </row>
    <row r="565" spans="1:1" x14ac:dyDescent="0.25">
      <c r="A565" s="23" t="s">
        <v>663</v>
      </c>
    </row>
    <row r="566" spans="1:1" x14ac:dyDescent="0.25">
      <c r="A566" s="23" t="s">
        <v>675</v>
      </c>
    </row>
    <row r="567" spans="1:1" x14ac:dyDescent="0.25">
      <c r="A567" s="23" t="s">
        <v>668</v>
      </c>
    </row>
    <row r="568" spans="1:1" x14ac:dyDescent="0.25">
      <c r="A568" s="23" t="s">
        <v>661</v>
      </c>
    </row>
    <row r="569" spans="1:1" x14ac:dyDescent="0.25">
      <c r="A569" s="23" t="s">
        <v>661</v>
      </c>
    </row>
    <row r="570" spans="1:1" x14ac:dyDescent="0.25">
      <c r="A570" s="23" t="s">
        <v>665</v>
      </c>
    </row>
    <row r="571" spans="1:1" x14ac:dyDescent="0.25">
      <c r="A571" s="23" t="s">
        <v>661</v>
      </c>
    </row>
    <row r="572" spans="1:1" x14ac:dyDescent="0.25">
      <c r="A572" s="23" t="s">
        <v>661</v>
      </c>
    </row>
    <row r="573" spans="1:1" x14ac:dyDescent="0.25">
      <c r="A573" s="23" t="s">
        <v>667</v>
      </c>
    </row>
    <row r="574" spans="1:1" x14ac:dyDescent="0.25">
      <c r="A574" s="23" t="s">
        <v>663</v>
      </c>
    </row>
    <row r="575" spans="1:1" x14ac:dyDescent="0.25">
      <c r="A575" s="23" t="s">
        <v>661</v>
      </c>
    </row>
    <row r="576" spans="1:1" x14ac:dyDescent="0.25">
      <c r="A576" s="23" t="s">
        <v>664</v>
      </c>
    </row>
    <row r="577" spans="1:1" x14ac:dyDescent="0.25">
      <c r="A577" s="23" t="s">
        <v>661</v>
      </c>
    </row>
    <row r="578" spans="1:1" x14ac:dyDescent="0.25">
      <c r="A578" s="23" t="s">
        <v>670</v>
      </c>
    </row>
    <row r="579" spans="1:1" x14ac:dyDescent="0.25">
      <c r="A579" s="23" t="s">
        <v>664</v>
      </c>
    </row>
    <row r="580" spans="1:1" x14ac:dyDescent="0.25">
      <c r="A580" s="23" t="s">
        <v>661</v>
      </c>
    </row>
    <row r="581" spans="1:1" x14ac:dyDescent="0.25">
      <c r="A581" s="23" t="s">
        <v>663</v>
      </c>
    </row>
    <row r="582" spans="1:1" x14ac:dyDescent="0.25">
      <c r="A582" s="23" t="s">
        <v>669</v>
      </c>
    </row>
    <row r="583" spans="1:1" x14ac:dyDescent="0.25">
      <c r="A583" s="23" t="s">
        <v>665</v>
      </c>
    </row>
    <row r="584" spans="1:1" x14ac:dyDescent="0.25">
      <c r="A584" s="23" t="s">
        <v>663</v>
      </c>
    </row>
    <row r="585" spans="1:1" x14ac:dyDescent="0.25">
      <c r="A585" s="23" t="s">
        <v>662</v>
      </c>
    </row>
    <row r="586" spans="1:1" x14ac:dyDescent="0.25">
      <c r="A586" s="23" t="s">
        <v>662</v>
      </c>
    </row>
    <row r="587" spans="1:1" x14ac:dyDescent="0.25">
      <c r="A587" s="23" t="s">
        <v>663</v>
      </c>
    </row>
    <row r="588" spans="1:1" x14ac:dyDescent="0.25">
      <c r="A588" s="23" t="s">
        <v>665</v>
      </c>
    </row>
    <row r="589" spans="1:1" x14ac:dyDescent="0.25">
      <c r="A589" s="23" t="s">
        <v>671</v>
      </c>
    </row>
    <row r="590" spans="1:1" x14ac:dyDescent="0.25">
      <c r="A590" s="23" t="s">
        <v>661</v>
      </c>
    </row>
    <row r="591" spans="1:1" x14ac:dyDescent="0.25">
      <c r="A591" s="23" t="s">
        <v>661</v>
      </c>
    </row>
    <row r="592" spans="1:1" x14ac:dyDescent="0.25">
      <c r="A592" s="23" t="s">
        <v>661</v>
      </c>
    </row>
    <row r="593" spans="1:1" x14ac:dyDescent="0.25">
      <c r="A593" s="23" t="s">
        <v>661</v>
      </c>
    </row>
    <row r="594" spans="1:1" x14ac:dyDescent="0.25">
      <c r="A594" s="23" t="s">
        <v>661</v>
      </c>
    </row>
    <row r="595" spans="1:1" x14ac:dyDescent="0.25">
      <c r="A595" s="23" t="s">
        <v>673</v>
      </c>
    </row>
    <row r="596" spans="1:1" x14ac:dyDescent="0.25">
      <c r="A596" s="23" t="s">
        <v>661</v>
      </c>
    </row>
    <row r="597" spans="1:1" x14ac:dyDescent="0.25">
      <c r="A597" s="23" t="s">
        <v>665</v>
      </c>
    </row>
    <row r="598" spans="1:1" x14ac:dyDescent="0.25">
      <c r="A598" s="23" t="s">
        <v>669</v>
      </c>
    </row>
    <row r="599" spans="1:1" x14ac:dyDescent="0.25">
      <c r="A599" s="23" t="s">
        <v>662</v>
      </c>
    </row>
    <row r="600" spans="1:1" x14ac:dyDescent="0.25">
      <c r="A600" s="23" t="s">
        <v>672</v>
      </c>
    </row>
    <row r="601" spans="1:1" x14ac:dyDescent="0.25">
      <c r="A601" s="23" t="s">
        <v>661</v>
      </c>
    </row>
    <row r="602" spans="1:1" x14ac:dyDescent="0.25">
      <c r="A602" s="23" t="s">
        <v>661</v>
      </c>
    </row>
    <row r="603" spans="1:1" x14ac:dyDescent="0.25">
      <c r="A603" s="23" t="s">
        <v>663</v>
      </c>
    </row>
    <row r="604" spans="1:1" x14ac:dyDescent="0.25">
      <c r="A604" s="23" t="s">
        <v>664</v>
      </c>
    </row>
    <row r="605" spans="1:1" x14ac:dyDescent="0.25">
      <c r="A605" s="23" t="s">
        <v>663</v>
      </c>
    </row>
    <row r="606" spans="1:1" x14ac:dyDescent="0.25">
      <c r="A606" s="23" t="s">
        <v>663</v>
      </c>
    </row>
    <row r="607" spans="1:1" x14ac:dyDescent="0.25">
      <c r="A607" s="23" t="s">
        <v>663</v>
      </c>
    </row>
    <row r="608" spans="1:1" x14ac:dyDescent="0.25">
      <c r="A608" s="23" t="s">
        <v>664</v>
      </c>
    </row>
    <row r="609" spans="1:1" x14ac:dyDescent="0.25">
      <c r="A609" s="23" t="s">
        <v>664</v>
      </c>
    </row>
    <row r="610" spans="1:1" x14ac:dyDescent="0.25">
      <c r="A610" s="23" t="s">
        <v>664</v>
      </c>
    </row>
    <row r="611" spans="1:1" x14ac:dyDescent="0.25">
      <c r="A611" s="23" t="s">
        <v>683</v>
      </c>
    </row>
    <row r="612" spans="1:1" x14ac:dyDescent="0.25">
      <c r="A612" s="23" t="s">
        <v>660</v>
      </c>
    </row>
    <row r="613" spans="1:1" x14ac:dyDescent="0.25">
      <c r="A613" s="23" t="s">
        <v>669</v>
      </c>
    </row>
    <row r="614" spans="1:1" x14ac:dyDescent="0.25">
      <c r="A614" s="23" t="s">
        <v>664</v>
      </c>
    </row>
    <row r="615" spans="1:1" x14ac:dyDescent="0.25">
      <c r="A615" s="23" t="s">
        <v>667</v>
      </c>
    </row>
    <row r="616" spans="1:1" x14ac:dyDescent="0.25">
      <c r="A616" s="23" t="s">
        <v>665</v>
      </c>
    </row>
    <row r="617" spans="1:1" x14ac:dyDescent="0.25">
      <c r="A617" s="23" t="s">
        <v>673</v>
      </c>
    </row>
    <row r="618" spans="1:1" x14ac:dyDescent="0.25">
      <c r="A618" s="23" t="s">
        <v>675</v>
      </c>
    </row>
    <row r="619" spans="1:1" x14ac:dyDescent="0.25">
      <c r="A619" s="23" t="s">
        <v>664</v>
      </c>
    </row>
    <row r="620" spans="1:1" x14ac:dyDescent="0.25">
      <c r="A620" s="23" t="s">
        <v>662</v>
      </c>
    </row>
    <row r="621" spans="1:1" x14ac:dyDescent="0.25">
      <c r="A621" s="23" t="s">
        <v>662</v>
      </c>
    </row>
    <row r="622" spans="1:1" x14ac:dyDescent="0.25">
      <c r="A622" s="23" t="s">
        <v>662</v>
      </c>
    </row>
    <row r="623" spans="1:1" x14ac:dyDescent="0.25">
      <c r="A623" s="23" t="s">
        <v>666</v>
      </c>
    </row>
    <row r="624" spans="1:1" x14ac:dyDescent="0.25">
      <c r="A624" s="23" t="s">
        <v>664</v>
      </c>
    </row>
    <row r="625" spans="1:1" x14ac:dyDescent="0.25">
      <c r="A625" s="23" t="s">
        <v>664</v>
      </c>
    </row>
    <row r="626" spans="1:1" x14ac:dyDescent="0.25">
      <c r="A626" s="23" t="s">
        <v>673</v>
      </c>
    </row>
    <row r="627" spans="1:1" x14ac:dyDescent="0.25">
      <c r="A627" s="23" t="s">
        <v>664</v>
      </c>
    </row>
    <row r="628" spans="1:1" x14ac:dyDescent="0.25">
      <c r="A628" s="23" t="s">
        <v>673</v>
      </c>
    </row>
    <row r="629" spans="1:1" x14ac:dyDescent="0.25">
      <c r="A629" s="23" t="s">
        <v>669</v>
      </c>
    </row>
    <row r="630" spans="1:1" x14ac:dyDescent="0.25">
      <c r="A630" s="23" t="s">
        <v>664</v>
      </c>
    </row>
    <row r="631" spans="1:1" x14ac:dyDescent="0.25">
      <c r="A631" s="23" t="s">
        <v>663</v>
      </c>
    </row>
    <row r="632" spans="1:1" x14ac:dyDescent="0.25">
      <c r="A632" s="23" t="s">
        <v>664</v>
      </c>
    </row>
    <row r="633" spans="1:1" x14ac:dyDescent="0.25">
      <c r="A633" s="23" t="s">
        <v>661</v>
      </c>
    </row>
    <row r="634" spans="1:1" x14ac:dyDescent="0.25">
      <c r="A634" s="23" t="s">
        <v>668</v>
      </c>
    </row>
    <row r="635" spans="1:1" x14ac:dyDescent="0.25">
      <c r="A635" s="23" t="s">
        <v>663</v>
      </c>
    </row>
    <row r="636" spans="1:1" x14ac:dyDescent="0.25">
      <c r="A636" s="23" t="s">
        <v>663</v>
      </c>
    </row>
    <row r="637" spans="1:1" x14ac:dyDescent="0.25">
      <c r="A637" s="23" t="s">
        <v>665</v>
      </c>
    </row>
    <row r="638" spans="1:1" x14ac:dyDescent="0.25">
      <c r="A638" s="23" t="s">
        <v>665</v>
      </c>
    </row>
    <row r="639" spans="1:1" x14ac:dyDescent="0.25">
      <c r="A639" s="23" t="s">
        <v>673</v>
      </c>
    </row>
    <row r="640" spans="1:1" x14ac:dyDescent="0.25">
      <c r="A640" s="23" t="s">
        <v>665</v>
      </c>
    </row>
    <row r="641" spans="1:1" x14ac:dyDescent="0.25">
      <c r="A641" s="23" t="s">
        <v>662</v>
      </c>
    </row>
    <row r="642" spans="1:1" x14ac:dyDescent="0.25">
      <c r="A642" s="23" t="s">
        <v>662</v>
      </c>
    </row>
    <row r="643" spans="1:1" x14ac:dyDescent="0.25">
      <c r="A643" s="23" t="s">
        <v>669</v>
      </c>
    </row>
    <row r="644" spans="1:1" x14ac:dyDescent="0.25">
      <c r="A644" s="23" t="s">
        <v>669</v>
      </c>
    </row>
    <row r="645" spans="1:1" x14ac:dyDescent="0.25">
      <c r="A645" s="23" t="s">
        <v>670</v>
      </c>
    </row>
    <row r="646" spans="1:1" x14ac:dyDescent="0.25">
      <c r="A646" s="23" t="s">
        <v>663</v>
      </c>
    </row>
    <row r="647" spans="1:1" x14ac:dyDescent="0.25">
      <c r="A647" s="23" t="s">
        <v>663</v>
      </c>
    </row>
    <row r="648" spans="1:1" x14ac:dyDescent="0.25">
      <c r="A648" s="23" t="s">
        <v>663</v>
      </c>
    </row>
    <row r="649" spans="1:1" x14ac:dyDescent="0.25">
      <c r="A649" s="23" t="s">
        <v>664</v>
      </c>
    </row>
    <row r="650" spans="1:1" x14ac:dyDescent="0.25">
      <c r="A650" s="23" t="s">
        <v>661</v>
      </c>
    </row>
    <row r="651" spans="1:1" x14ac:dyDescent="0.25">
      <c r="A651" s="23" t="s">
        <v>669</v>
      </c>
    </row>
    <row r="652" spans="1:1" x14ac:dyDescent="0.25">
      <c r="A652" s="23" t="s">
        <v>673</v>
      </c>
    </row>
    <row r="653" spans="1:1" x14ac:dyDescent="0.25">
      <c r="A653" s="23" t="s">
        <v>667</v>
      </c>
    </row>
    <row r="654" spans="1:1" x14ac:dyDescent="0.25">
      <c r="A654" s="23" t="s">
        <v>662</v>
      </c>
    </row>
    <row r="655" spans="1:1" x14ac:dyDescent="0.25">
      <c r="A655" s="23" t="s">
        <v>665</v>
      </c>
    </row>
    <row r="656" spans="1:1" x14ac:dyDescent="0.25">
      <c r="A656" s="23" t="s">
        <v>671</v>
      </c>
    </row>
    <row r="657" spans="1:1" x14ac:dyDescent="0.25">
      <c r="A657" s="23" t="s">
        <v>661</v>
      </c>
    </row>
    <row r="658" spans="1:1" x14ac:dyDescent="0.25">
      <c r="A658" s="23" t="s">
        <v>661</v>
      </c>
    </row>
    <row r="659" spans="1:1" x14ac:dyDescent="0.25">
      <c r="A659" s="23" t="s">
        <v>664</v>
      </c>
    </row>
    <row r="660" spans="1:1" x14ac:dyDescent="0.25">
      <c r="A660" s="23" t="s">
        <v>661</v>
      </c>
    </row>
    <row r="661" spans="1:1" x14ac:dyDescent="0.25">
      <c r="A661" s="23" t="s">
        <v>669</v>
      </c>
    </row>
    <row r="662" spans="1:1" x14ac:dyDescent="0.25">
      <c r="A662" s="23" t="s">
        <v>661</v>
      </c>
    </row>
    <row r="663" spans="1:1" x14ac:dyDescent="0.25">
      <c r="A663" s="23" t="s">
        <v>675</v>
      </c>
    </row>
    <row r="664" spans="1:1" x14ac:dyDescent="0.25">
      <c r="A664" s="23" t="s">
        <v>669</v>
      </c>
    </row>
    <row r="665" spans="1:1" x14ac:dyDescent="0.25">
      <c r="A665" s="23" t="s">
        <v>661</v>
      </c>
    </row>
    <row r="666" spans="1:1" x14ac:dyDescent="0.25">
      <c r="A666" s="23" t="s">
        <v>667</v>
      </c>
    </row>
    <row r="667" spans="1:1" x14ac:dyDescent="0.25">
      <c r="A667" s="23" t="s">
        <v>672</v>
      </c>
    </row>
    <row r="668" spans="1:1" x14ac:dyDescent="0.25">
      <c r="A668" s="23" t="s">
        <v>661</v>
      </c>
    </row>
    <row r="669" spans="1:1" x14ac:dyDescent="0.25">
      <c r="A669" s="23" t="s">
        <v>669</v>
      </c>
    </row>
    <row r="670" spans="1:1" x14ac:dyDescent="0.25">
      <c r="A670" s="23" t="s">
        <v>669</v>
      </c>
    </row>
    <row r="671" spans="1:1" x14ac:dyDescent="0.25">
      <c r="A671" s="23" t="s">
        <v>669</v>
      </c>
    </row>
    <row r="672" spans="1:1" x14ac:dyDescent="0.25">
      <c r="A672" s="23" t="s">
        <v>667</v>
      </c>
    </row>
    <row r="673" spans="1:1" x14ac:dyDescent="0.25">
      <c r="A673" s="23" t="s">
        <v>667</v>
      </c>
    </row>
    <row r="674" spans="1:1" x14ac:dyDescent="0.25">
      <c r="A674" s="23" t="s">
        <v>663</v>
      </c>
    </row>
    <row r="675" spans="1:1" x14ac:dyDescent="0.25">
      <c r="A675" s="23" t="s">
        <v>669</v>
      </c>
    </row>
    <row r="676" spans="1:1" x14ac:dyDescent="0.25">
      <c r="A676" s="23" t="s">
        <v>673</v>
      </c>
    </row>
    <row r="677" spans="1:1" x14ac:dyDescent="0.25">
      <c r="A677" s="23" t="s">
        <v>661</v>
      </c>
    </row>
    <row r="678" spans="1:1" x14ac:dyDescent="0.25">
      <c r="A678" s="23" t="s">
        <v>684</v>
      </c>
    </row>
    <row r="679" spans="1:1" x14ac:dyDescent="0.25">
      <c r="A679" s="23" t="s">
        <v>660</v>
      </c>
    </row>
    <row r="680" spans="1:1" x14ac:dyDescent="0.25">
      <c r="A680" s="23" t="s">
        <v>661</v>
      </c>
    </row>
    <row r="681" spans="1:1" x14ac:dyDescent="0.25">
      <c r="A681" s="23" t="s">
        <v>669</v>
      </c>
    </row>
    <row r="682" spans="1:1" x14ac:dyDescent="0.25">
      <c r="A682" s="23" t="s">
        <v>667</v>
      </c>
    </row>
    <row r="683" spans="1:1" x14ac:dyDescent="0.25">
      <c r="A683" s="23" t="s">
        <v>673</v>
      </c>
    </row>
    <row r="684" spans="1:1" x14ac:dyDescent="0.25">
      <c r="A684" s="23" t="s">
        <v>667</v>
      </c>
    </row>
    <row r="685" spans="1:1" x14ac:dyDescent="0.25">
      <c r="A685" s="23" t="s">
        <v>675</v>
      </c>
    </row>
    <row r="686" spans="1:1" x14ac:dyDescent="0.25">
      <c r="A686" s="23" t="s">
        <v>673</v>
      </c>
    </row>
    <row r="687" spans="1:1" x14ac:dyDescent="0.25">
      <c r="A687" s="23" t="s">
        <v>664</v>
      </c>
    </row>
    <row r="688" spans="1:1" x14ac:dyDescent="0.25">
      <c r="A688" s="23" t="s">
        <v>661</v>
      </c>
    </row>
    <row r="689" spans="1:1" x14ac:dyDescent="0.25">
      <c r="A689" s="23" t="s">
        <v>669</v>
      </c>
    </row>
    <row r="690" spans="1:1" x14ac:dyDescent="0.25">
      <c r="A690" s="23" t="s">
        <v>666</v>
      </c>
    </row>
    <row r="691" spans="1:1" x14ac:dyDescent="0.25">
      <c r="A691" s="23" t="s">
        <v>669</v>
      </c>
    </row>
    <row r="692" spans="1:1" x14ac:dyDescent="0.25">
      <c r="A692" s="23" t="s">
        <v>663</v>
      </c>
    </row>
    <row r="693" spans="1:1" x14ac:dyDescent="0.25">
      <c r="A693" s="23" t="s">
        <v>673</v>
      </c>
    </row>
    <row r="694" spans="1:1" x14ac:dyDescent="0.25">
      <c r="A694" s="23" t="s">
        <v>669</v>
      </c>
    </row>
    <row r="695" spans="1:1" x14ac:dyDescent="0.25">
      <c r="A695" s="23" t="s">
        <v>664</v>
      </c>
    </row>
    <row r="696" spans="1:1" x14ac:dyDescent="0.25">
      <c r="A696" s="23" t="s">
        <v>664</v>
      </c>
    </row>
    <row r="697" spans="1:1" x14ac:dyDescent="0.25">
      <c r="A697" s="23" t="s">
        <v>663</v>
      </c>
    </row>
    <row r="698" spans="1:1" x14ac:dyDescent="0.25">
      <c r="A698" s="23" t="s">
        <v>663</v>
      </c>
    </row>
    <row r="699" spans="1:1" x14ac:dyDescent="0.25">
      <c r="A699" s="23" t="s">
        <v>669</v>
      </c>
    </row>
    <row r="700" spans="1:1" x14ac:dyDescent="0.25">
      <c r="A700" s="23" t="s">
        <v>663</v>
      </c>
    </row>
    <row r="701" spans="1:1" x14ac:dyDescent="0.25">
      <c r="A701" s="23" t="s">
        <v>668</v>
      </c>
    </row>
    <row r="702" spans="1:1" x14ac:dyDescent="0.25">
      <c r="A702" s="23" t="s">
        <v>663</v>
      </c>
    </row>
    <row r="703" spans="1:1" x14ac:dyDescent="0.25">
      <c r="A703" s="23" t="s">
        <v>665</v>
      </c>
    </row>
    <row r="704" spans="1:1" x14ac:dyDescent="0.25">
      <c r="A704" s="23" t="s">
        <v>663</v>
      </c>
    </row>
    <row r="705" spans="1:1" x14ac:dyDescent="0.25">
      <c r="A705" s="23" t="s">
        <v>664</v>
      </c>
    </row>
    <row r="706" spans="1:1" x14ac:dyDescent="0.25">
      <c r="A706" s="23" t="s">
        <v>673</v>
      </c>
    </row>
    <row r="707" spans="1:1" x14ac:dyDescent="0.25">
      <c r="A707" s="23" t="s">
        <v>673</v>
      </c>
    </row>
    <row r="708" spans="1:1" x14ac:dyDescent="0.25">
      <c r="A708" s="23" t="s">
        <v>664</v>
      </c>
    </row>
    <row r="709" spans="1:1" x14ac:dyDescent="0.25">
      <c r="A709" s="23" t="s">
        <v>663</v>
      </c>
    </row>
    <row r="710" spans="1:1" x14ac:dyDescent="0.25">
      <c r="A710" s="23" t="s">
        <v>664</v>
      </c>
    </row>
    <row r="711" spans="1:1" x14ac:dyDescent="0.25">
      <c r="A711" s="23" t="s">
        <v>664</v>
      </c>
    </row>
    <row r="712" spans="1:1" x14ac:dyDescent="0.25">
      <c r="A712" s="23" t="s">
        <v>670</v>
      </c>
    </row>
    <row r="713" spans="1:1" x14ac:dyDescent="0.25">
      <c r="A713" s="23" t="s">
        <v>664</v>
      </c>
    </row>
    <row r="714" spans="1:1" x14ac:dyDescent="0.25">
      <c r="A714" s="23" t="s">
        <v>664</v>
      </c>
    </row>
    <row r="715" spans="1:1" x14ac:dyDescent="0.25">
      <c r="A715" s="23" t="s">
        <v>673</v>
      </c>
    </row>
    <row r="716" spans="1:1" x14ac:dyDescent="0.25">
      <c r="A716" s="23" t="s">
        <v>669</v>
      </c>
    </row>
    <row r="717" spans="1:1" x14ac:dyDescent="0.25">
      <c r="A717" s="23" t="s">
        <v>664</v>
      </c>
    </row>
    <row r="718" spans="1:1" x14ac:dyDescent="0.25">
      <c r="A718" s="23" t="s">
        <v>667</v>
      </c>
    </row>
    <row r="719" spans="1:1" x14ac:dyDescent="0.25">
      <c r="A719" s="23" t="s">
        <v>675</v>
      </c>
    </row>
    <row r="720" spans="1:1" x14ac:dyDescent="0.25">
      <c r="A720" s="23" t="s">
        <v>664</v>
      </c>
    </row>
    <row r="721" spans="1:1" x14ac:dyDescent="0.25">
      <c r="A721" s="23" t="s">
        <v>663</v>
      </c>
    </row>
    <row r="722" spans="1:1" x14ac:dyDescent="0.25">
      <c r="A722" s="23" t="s">
        <v>669</v>
      </c>
    </row>
    <row r="723" spans="1:1" x14ac:dyDescent="0.25">
      <c r="A723" s="23" t="s">
        <v>671</v>
      </c>
    </row>
    <row r="724" spans="1:1" x14ac:dyDescent="0.25">
      <c r="A724" s="23" t="s">
        <v>661</v>
      </c>
    </row>
    <row r="725" spans="1:1" x14ac:dyDescent="0.25">
      <c r="A725" s="23" t="s">
        <v>661</v>
      </c>
    </row>
    <row r="726" spans="1:1" x14ac:dyDescent="0.25">
      <c r="A726" s="23" t="s">
        <v>669</v>
      </c>
    </row>
    <row r="727" spans="1:1" x14ac:dyDescent="0.25">
      <c r="A727" s="23" t="s">
        <v>667</v>
      </c>
    </row>
    <row r="728" spans="1:1" x14ac:dyDescent="0.25">
      <c r="A728" s="23" t="s">
        <v>667</v>
      </c>
    </row>
    <row r="729" spans="1:1" x14ac:dyDescent="0.25">
      <c r="A729" s="23" t="s">
        <v>661</v>
      </c>
    </row>
    <row r="730" spans="1:1" x14ac:dyDescent="0.25">
      <c r="A730" s="23" t="s">
        <v>663</v>
      </c>
    </row>
    <row r="731" spans="1:1" x14ac:dyDescent="0.25">
      <c r="A731" s="23" t="s">
        <v>673</v>
      </c>
    </row>
    <row r="732" spans="1:1" x14ac:dyDescent="0.25">
      <c r="A732" s="23" t="s">
        <v>673</v>
      </c>
    </row>
    <row r="733" spans="1:1" x14ac:dyDescent="0.25">
      <c r="A733" s="23" t="s">
        <v>664</v>
      </c>
    </row>
    <row r="734" spans="1:1" x14ac:dyDescent="0.25">
      <c r="A734" s="23" t="s">
        <v>672</v>
      </c>
    </row>
    <row r="735" spans="1:1" x14ac:dyDescent="0.25">
      <c r="A735" s="23" t="s">
        <v>661</v>
      </c>
    </row>
    <row r="736" spans="1:1" x14ac:dyDescent="0.25">
      <c r="A736" s="23" t="s">
        <v>661</v>
      </c>
    </row>
    <row r="737" spans="1:1" x14ac:dyDescent="0.25">
      <c r="A737" s="23" t="s">
        <v>661</v>
      </c>
    </row>
    <row r="738" spans="1:1" x14ac:dyDescent="0.25">
      <c r="A738" s="23" t="s">
        <v>661</v>
      </c>
    </row>
    <row r="739" spans="1:1" x14ac:dyDescent="0.25">
      <c r="A739" s="23" t="s">
        <v>661</v>
      </c>
    </row>
    <row r="740" spans="1:1" x14ac:dyDescent="0.25">
      <c r="A740" s="23" t="s">
        <v>665</v>
      </c>
    </row>
    <row r="741" spans="1:1" x14ac:dyDescent="0.25">
      <c r="A741" s="23" t="s">
        <v>665</v>
      </c>
    </row>
    <row r="742" spans="1:1" x14ac:dyDescent="0.25">
      <c r="A742" s="23" t="s">
        <v>669</v>
      </c>
    </row>
    <row r="743" spans="1:1" x14ac:dyDescent="0.25">
      <c r="A743" s="23" t="s">
        <v>665</v>
      </c>
    </row>
    <row r="744" spans="1:1" x14ac:dyDescent="0.25">
      <c r="A744" s="23" t="s">
        <v>669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D74FC-D1B2-4E10-BAB9-09ECDEACDF06}">
  <sheetPr>
    <tabColor theme="9" tint="-0.499984740745262"/>
  </sheetPr>
  <dimension ref="A1:A744"/>
  <sheetViews>
    <sheetView workbookViewId="0"/>
  </sheetViews>
  <sheetFormatPr defaultRowHeight="15" x14ac:dyDescent="0.25"/>
  <sheetData>
    <row r="1" spans="1:1" x14ac:dyDescent="0.25">
      <c r="A1" s="2" t="s">
        <v>685</v>
      </c>
    </row>
    <row r="3" spans="1:1" x14ac:dyDescent="0.25">
      <c r="A3" s="23" t="s">
        <v>180</v>
      </c>
    </row>
    <row r="4" spans="1:1" x14ac:dyDescent="0.25">
      <c r="A4" s="23" t="s">
        <v>658</v>
      </c>
    </row>
    <row r="5" spans="1:1" x14ac:dyDescent="0.25">
      <c r="A5" s="23" t="s">
        <v>328</v>
      </c>
    </row>
    <row r="6" spans="1:1" x14ac:dyDescent="0.25">
      <c r="A6" s="23" t="s">
        <v>94</v>
      </c>
    </row>
    <row r="7" spans="1:1" x14ac:dyDescent="0.25">
      <c r="A7" s="23" t="s">
        <v>95</v>
      </c>
    </row>
    <row r="8" spans="1:1" x14ac:dyDescent="0.25">
      <c r="A8" s="23" t="s">
        <v>659</v>
      </c>
    </row>
    <row r="9" spans="1:1" x14ac:dyDescent="0.25">
      <c r="A9" s="23" t="s">
        <v>660</v>
      </c>
    </row>
    <row r="10" spans="1:1" x14ac:dyDescent="0.25">
      <c r="A10" s="23" t="s">
        <v>686</v>
      </c>
    </row>
    <row r="11" spans="1:1" x14ac:dyDescent="0.25">
      <c r="A11" s="23" t="s">
        <v>686</v>
      </c>
    </row>
    <row r="12" spans="1:1" x14ac:dyDescent="0.25">
      <c r="A12" s="23" t="s">
        <v>687</v>
      </c>
    </row>
    <row r="13" spans="1:1" x14ac:dyDescent="0.25">
      <c r="A13" s="23" t="s">
        <v>688</v>
      </c>
    </row>
    <row r="14" spans="1:1" x14ac:dyDescent="0.25">
      <c r="A14" s="23" t="s">
        <v>686</v>
      </c>
    </row>
    <row r="15" spans="1:1" x14ac:dyDescent="0.25">
      <c r="A15" s="23" t="s">
        <v>688</v>
      </c>
    </row>
    <row r="16" spans="1:1" x14ac:dyDescent="0.25">
      <c r="A16" s="23" t="s">
        <v>689</v>
      </c>
    </row>
    <row r="17" spans="1:1" x14ac:dyDescent="0.25">
      <c r="A17" s="23" t="s">
        <v>686</v>
      </c>
    </row>
    <row r="18" spans="1:1" x14ac:dyDescent="0.25">
      <c r="A18" s="23" t="s">
        <v>688</v>
      </c>
    </row>
    <row r="19" spans="1:1" x14ac:dyDescent="0.25">
      <c r="A19" s="23" t="s">
        <v>690</v>
      </c>
    </row>
    <row r="20" spans="1:1" x14ac:dyDescent="0.25">
      <c r="A20" s="23" t="s">
        <v>666</v>
      </c>
    </row>
    <row r="21" spans="1:1" x14ac:dyDescent="0.25">
      <c r="A21" s="23" t="s">
        <v>691</v>
      </c>
    </row>
    <row r="22" spans="1:1" x14ac:dyDescent="0.25">
      <c r="A22" s="23" t="s">
        <v>692</v>
      </c>
    </row>
    <row r="23" spans="1:1" x14ac:dyDescent="0.25">
      <c r="A23" s="23" t="s">
        <v>692</v>
      </c>
    </row>
    <row r="24" spans="1:1" x14ac:dyDescent="0.25">
      <c r="A24" s="23" t="s">
        <v>693</v>
      </c>
    </row>
    <row r="25" spans="1:1" x14ac:dyDescent="0.25">
      <c r="A25" s="23" t="s">
        <v>692</v>
      </c>
    </row>
    <row r="26" spans="1:1" x14ac:dyDescent="0.25">
      <c r="A26" s="23" t="s">
        <v>688</v>
      </c>
    </row>
    <row r="27" spans="1:1" x14ac:dyDescent="0.25">
      <c r="A27" s="23" t="s">
        <v>694</v>
      </c>
    </row>
    <row r="28" spans="1:1" x14ac:dyDescent="0.25">
      <c r="A28" s="23" t="s">
        <v>688</v>
      </c>
    </row>
    <row r="29" spans="1:1" x14ac:dyDescent="0.25">
      <c r="A29" s="23" t="s">
        <v>688</v>
      </c>
    </row>
    <row r="30" spans="1:1" x14ac:dyDescent="0.25">
      <c r="A30" s="23" t="s">
        <v>695</v>
      </c>
    </row>
    <row r="31" spans="1:1" x14ac:dyDescent="0.25">
      <c r="A31" s="23" t="s">
        <v>668</v>
      </c>
    </row>
    <row r="32" spans="1:1" x14ac:dyDescent="0.25">
      <c r="A32" s="23" t="s">
        <v>692</v>
      </c>
    </row>
    <row r="33" spans="1:1" x14ac:dyDescent="0.25">
      <c r="A33" s="23" t="s">
        <v>690</v>
      </c>
    </row>
    <row r="34" spans="1:1" x14ac:dyDescent="0.25">
      <c r="A34" s="23" t="s">
        <v>695</v>
      </c>
    </row>
    <row r="35" spans="1:1" x14ac:dyDescent="0.25">
      <c r="A35" s="23" t="s">
        <v>695</v>
      </c>
    </row>
    <row r="36" spans="1:1" x14ac:dyDescent="0.25">
      <c r="A36" s="23" t="s">
        <v>687</v>
      </c>
    </row>
    <row r="37" spans="1:1" x14ac:dyDescent="0.25">
      <c r="A37" s="23" t="s">
        <v>692</v>
      </c>
    </row>
    <row r="38" spans="1:1" x14ac:dyDescent="0.25">
      <c r="A38" s="23" t="s">
        <v>690</v>
      </c>
    </row>
    <row r="39" spans="1:1" x14ac:dyDescent="0.25">
      <c r="A39" s="23" t="s">
        <v>688</v>
      </c>
    </row>
    <row r="40" spans="1:1" x14ac:dyDescent="0.25">
      <c r="A40" s="23" t="s">
        <v>686</v>
      </c>
    </row>
    <row r="41" spans="1:1" x14ac:dyDescent="0.25">
      <c r="A41" s="23" t="s">
        <v>686</v>
      </c>
    </row>
    <row r="42" spans="1:1" x14ac:dyDescent="0.25">
      <c r="A42" s="23" t="s">
        <v>670</v>
      </c>
    </row>
    <row r="43" spans="1:1" x14ac:dyDescent="0.25">
      <c r="A43" s="23" t="s">
        <v>691</v>
      </c>
    </row>
    <row r="44" spans="1:1" x14ac:dyDescent="0.25">
      <c r="A44" s="23" t="s">
        <v>692</v>
      </c>
    </row>
    <row r="45" spans="1:1" x14ac:dyDescent="0.25">
      <c r="A45" s="23" t="s">
        <v>691</v>
      </c>
    </row>
    <row r="46" spans="1:1" x14ac:dyDescent="0.25">
      <c r="A46" s="23" t="s">
        <v>693</v>
      </c>
    </row>
    <row r="47" spans="1:1" x14ac:dyDescent="0.25">
      <c r="A47" s="23" t="s">
        <v>686</v>
      </c>
    </row>
    <row r="48" spans="1:1" x14ac:dyDescent="0.25">
      <c r="A48" s="23" t="s">
        <v>687</v>
      </c>
    </row>
    <row r="49" spans="1:1" x14ac:dyDescent="0.25">
      <c r="A49" s="23" t="s">
        <v>695</v>
      </c>
    </row>
    <row r="50" spans="1:1" x14ac:dyDescent="0.25">
      <c r="A50" s="23" t="s">
        <v>687</v>
      </c>
    </row>
    <row r="51" spans="1:1" x14ac:dyDescent="0.25">
      <c r="A51" s="23" t="s">
        <v>692</v>
      </c>
    </row>
    <row r="52" spans="1:1" x14ac:dyDescent="0.25">
      <c r="A52" s="23" t="s">
        <v>691</v>
      </c>
    </row>
    <row r="53" spans="1:1" x14ac:dyDescent="0.25">
      <c r="A53" s="23" t="s">
        <v>671</v>
      </c>
    </row>
    <row r="54" spans="1:1" x14ac:dyDescent="0.25">
      <c r="A54" s="23" t="s">
        <v>695</v>
      </c>
    </row>
    <row r="55" spans="1:1" x14ac:dyDescent="0.25">
      <c r="A55" s="23" t="s">
        <v>688</v>
      </c>
    </row>
    <row r="56" spans="1:1" x14ac:dyDescent="0.25">
      <c r="A56" s="23" t="s">
        <v>695</v>
      </c>
    </row>
    <row r="57" spans="1:1" x14ac:dyDescent="0.25">
      <c r="A57" s="23" t="s">
        <v>686</v>
      </c>
    </row>
    <row r="58" spans="1:1" x14ac:dyDescent="0.25">
      <c r="A58" s="23" t="s">
        <v>688</v>
      </c>
    </row>
    <row r="59" spans="1:1" x14ac:dyDescent="0.25">
      <c r="A59" s="23" t="s">
        <v>692</v>
      </c>
    </row>
    <row r="60" spans="1:1" x14ac:dyDescent="0.25">
      <c r="A60" s="23" t="s">
        <v>690</v>
      </c>
    </row>
    <row r="61" spans="1:1" x14ac:dyDescent="0.25">
      <c r="A61" s="23" t="s">
        <v>693</v>
      </c>
    </row>
    <row r="62" spans="1:1" x14ac:dyDescent="0.25">
      <c r="A62" s="23" t="s">
        <v>694</v>
      </c>
    </row>
    <row r="63" spans="1:1" x14ac:dyDescent="0.25">
      <c r="A63" s="23" t="s">
        <v>690</v>
      </c>
    </row>
    <row r="64" spans="1:1" x14ac:dyDescent="0.25">
      <c r="A64" s="23" t="s">
        <v>672</v>
      </c>
    </row>
    <row r="65" spans="1:1" x14ac:dyDescent="0.25">
      <c r="A65" s="23" t="s">
        <v>686</v>
      </c>
    </row>
    <row r="66" spans="1:1" x14ac:dyDescent="0.25">
      <c r="A66" s="23" t="s">
        <v>686</v>
      </c>
    </row>
    <row r="67" spans="1:1" x14ac:dyDescent="0.25">
      <c r="A67" s="23" t="s">
        <v>686</v>
      </c>
    </row>
    <row r="68" spans="1:1" x14ac:dyDescent="0.25">
      <c r="A68" s="23" t="s">
        <v>686</v>
      </c>
    </row>
    <row r="69" spans="1:1" x14ac:dyDescent="0.25">
      <c r="A69" s="23" t="s">
        <v>686</v>
      </c>
    </row>
    <row r="70" spans="1:1" x14ac:dyDescent="0.25">
      <c r="A70" s="23" t="s">
        <v>687</v>
      </c>
    </row>
    <row r="71" spans="1:1" x14ac:dyDescent="0.25">
      <c r="A71" s="23" t="s">
        <v>687</v>
      </c>
    </row>
    <row r="72" spans="1:1" x14ac:dyDescent="0.25">
      <c r="A72" s="23" t="s">
        <v>691</v>
      </c>
    </row>
    <row r="73" spans="1:1" x14ac:dyDescent="0.25">
      <c r="A73" s="23" t="s">
        <v>691</v>
      </c>
    </row>
    <row r="74" spans="1:1" x14ac:dyDescent="0.25">
      <c r="A74" s="23" t="s">
        <v>691</v>
      </c>
    </row>
    <row r="75" spans="1:1" x14ac:dyDescent="0.25">
      <c r="A75" s="23" t="s">
        <v>674</v>
      </c>
    </row>
    <row r="76" spans="1:1" x14ac:dyDescent="0.25">
      <c r="A76" s="23" t="s">
        <v>660</v>
      </c>
    </row>
    <row r="77" spans="1:1" x14ac:dyDescent="0.25">
      <c r="A77" s="23" t="s">
        <v>691</v>
      </c>
    </row>
    <row r="78" spans="1:1" x14ac:dyDescent="0.25">
      <c r="A78" s="23" t="s">
        <v>692</v>
      </c>
    </row>
    <row r="79" spans="1:1" x14ac:dyDescent="0.25">
      <c r="A79" s="23" t="s">
        <v>692</v>
      </c>
    </row>
    <row r="80" spans="1:1" x14ac:dyDescent="0.25">
      <c r="A80" s="23" t="s">
        <v>687</v>
      </c>
    </row>
    <row r="81" spans="1:1" x14ac:dyDescent="0.25">
      <c r="A81" s="23" t="s">
        <v>691</v>
      </c>
    </row>
    <row r="82" spans="1:1" x14ac:dyDescent="0.25">
      <c r="A82" s="23" t="s">
        <v>692</v>
      </c>
    </row>
    <row r="83" spans="1:1" x14ac:dyDescent="0.25">
      <c r="A83" s="23" t="s">
        <v>687</v>
      </c>
    </row>
    <row r="84" spans="1:1" x14ac:dyDescent="0.25">
      <c r="A84" s="23" t="s">
        <v>687</v>
      </c>
    </row>
    <row r="85" spans="1:1" x14ac:dyDescent="0.25">
      <c r="A85" s="23" t="s">
        <v>687</v>
      </c>
    </row>
    <row r="86" spans="1:1" x14ac:dyDescent="0.25">
      <c r="A86" s="23" t="s">
        <v>689</v>
      </c>
    </row>
    <row r="87" spans="1:1" x14ac:dyDescent="0.25">
      <c r="A87" s="23" t="s">
        <v>666</v>
      </c>
    </row>
    <row r="88" spans="1:1" x14ac:dyDescent="0.25">
      <c r="A88" s="23" t="s">
        <v>690</v>
      </c>
    </row>
    <row r="89" spans="1:1" x14ac:dyDescent="0.25">
      <c r="A89" s="23" t="s">
        <v>690</v>
      </c>
    </row>
    <row r="90" spans="1:1" x14ac:dyDescent="0.25">
      <c r="A90" s="23" t="s">
        <v>687</v>
      </c>
    </row>
    <row r="91" spans="1:1" x14ac:dyDescent="0.25">
      <c r="A91" s="23" t="s">
        <v>690</v>
      </c>
    </row>
    <row r="92" spans="1:1" x14ac:dyDescent="0.25">
      <c r="A92" s="23" t="s">
        <v>686</v>
      </c>
    </row>
    <row r="93" spans="1:1" x14ac:dyDescent="0.25">
      <c r="A93" s="23" t="s">
        <v>692</v>
      </c>
    </row>
    <row r="94" spans="1:1" x14ac:dyDescent="0.25">
      <c r="A94" s="23" t="s">
        <v>689</v>
      </c>
    </row>
    <row r="95" spans="1:1" x14ac:dyDescent="0.25">
      <c r="A95" s="23" t="s">
        <v>690</v>
      </c>
    </row>
    <row r="96" spans="1:1" x14ac:dyDescent="0.25">
      <c r="A96" s="23" t="s">
        <v>689</v>
      </c>
    </row>
    <row r="97" spans="1:1" x14ac:dyDescent="0.25">
      <c r="A97" s="23" t="s">
        <v>688</v>
      </c>
    </row>
    <row r="98" spans="1:1" x14ac:dyDescent="0.25">
      <c r="A98" s="23" t="s">
        <v>668</v>
      </c>
    </row>
    <row r="99" spans="1:1" x14ac:dyDescent="0.25">
      <c r="A99" s="23" t="s">
        <v>695</v>
      </c>
    </row>
    <row r="100" spans="1:1" x14ac:dyDescent="0.25">
      <c r="A100" s="23" t="s">
        <v>691</v>
      </c>
    </row>
    <row r="101" spans="1:1" x14ac:dyDescent="0.25">
      <c r="A101" s="23" t="s">
        <v>691</v>
      </c>
    </row>
    <row r="102" spans="1:1" x14ac:dyDescent="0.25">
      <c r="A102" s="23" t="s">
        <v>690</v>
      </c>
    </row>
    <row r="103" spans="1:1" x14ac:dyDescent="0.25">
      <c r="A103" s="23" t="s">
        <v>692</v>
      </c>
    </row>
    <row r="104" spans="1:1" x14ac:dyDescent="0.25">
      <c r="A104" s="23" t="s">
        <v>687</v>
      </c>
    </row>
    <row r="105" spans="1:1" x14ac:dyDescent="0.25">
      <c r="A105" s="23" t="s">
        <v>687</v>
      </c>
    </row>
    <row r="106" spans="1:1" x14ac:dyDescent="0.25">
      <c r="A106" s="23" t="s">
        <v>687</v>
      </c>
    </row>
    <row r="107" spans="1:1" x14ac:dyDescent="0.25">
      <c r="A107" s="23" t="s">
        <v>692</v>
      </c>
    </row>
    <row r="108" spans="1:1" x14ac:dyDescent="0.25">
      <c r="A108" s="23" t="s">
        <v>694</v>
      </c>
    </row>
    <row r="109" spans="1:1" x14ac:dyDescent="0.25">
      <c r="A109" s="23" t="s">
        <v>670</v>
      </c>
    </row>
    <row r="110" spans="1:1" x14ac:dyDescent="0.25">
      <c r="A110" s="23" t="s">
        <v>686</v>
      </c>
    </row>
    <row r="111" spans="1:1" x14ac:dyDescent="0.25">
      <c r="A111" s="23" t="s">
        <v>687</v>
      </c>
    </row>
    <row r="112" spans="1:1" x14ac:dyDescent="0.25">
      <c r="A112" s="23" t="s">
        <v>687</v>
      </c>
    </row>
    <row r="113" spans="1:1" x14ac:dyDescent="0.25">
      <c r="A113" s="23" t="s">
        <v>692</v>
      </c>
    </row>
    <row r="114" spans="1:1" x14ac:dyDescent="0.25">
      <c r="A114" s="23" t="s">
        <v>688</v>
      </c>
    </row>
    <row r="115" spans="1:1" x14ac:dyDescent="0.25">
      <c r="A115" s="23" t="s">
        <v>692</v>
      </c>
    </row>
    <row r="116" spans="1:1" x14ac:dyDescent="0.25">
      <c r="A116" s="23" t="s">
        <v>687</v>
      </c>
    </row>
    <row r="117" spans="1:1" x14ac:dyDescent="0.25">
      <c r="A117" s="23" t="s">
        <v>691</v>
      </c>
    </row>
    <row r="118" spans="1:1" x14ac:dyDescent="0.25">
      <c r="A118" s="23" t="s">
        <v>691</v>
      </c>
    </row>
    <row r="119" spans="1:1" x14ac:dyDescent="0.25">
      <c r="A119" s="23" t="s">
        <v>688</v>
      </c>
    </row>
    <row r="120" spans="1:1" x14ac:dyDescent="0.25">
      <c r="A120" s="23" t="s">
        <v>671</v>
      </c>
    </row>
    <row r="121" spans="1:1" x14ac:dyDescent="0.25">
      <c r="A121" s="23" t="s">
        <v>694</v>
      </c>
    </row>
    <row r="122" spans="1:1" x14ac:dyDescent="0.25">
      <c r="A122" s="23" t="s">
        <v>695</v>
      </c>
    </row>
    <row r="123" spans="1:1" x14ac:dyDescent="0.25">
      <c r="A123" s="23" t="s">
        <v>695</v>
      </c>
    </row>
    <row r="124" spans="1:1" x14ac:dyDescent="0.25">
      <c r="A124" s="23" t="s">
        <v>689</v>
      </c>
    </row>
    <row r="125" spans="1:1" x14ac:dyDescent="0.25">
      <c r="A125" s="23" t="s">
        <v>689</v>
      </c>
    </row>
    <row r="126" spans="1:1" x14ac:dyDescent="0.25">
      <c r="A126" s="23" t="s">
        <v>691</v>
      </c>
    </row>
    <row r="127" spans="1:1" x14ac:dyDescent="0.25">
      <c r="A127" s="23" t="s">
        <v>690</v>
      </c>
    </row>
    <row r="128" spans="1:1" x14ac:dyDescent="0.25">
      <c r="A128" s="23" t="s">
        <v>689</v>
      </c>
    </row>
    <row r="129" spans="1:1" x14ac:dyDescent="0.25">
      <c r="A129" s="23" t="s">
        <v>693</v>
      </c>
    </row>
    <row r="130" spans="1:1" x14ac:dyDescent="0.25">
      <c r="A130" s="23" t="s">
        <v>692</v>
      </c>
    </row>
    <row r="131" spans="1:1" x14ac:dyDescent="0.25">
      <c r="A131" s="23" t="s">
        <v>672</v>
      </c>
    </row>
    <row r="132" spans="1:1" x14ac:dyDescent="0.25">
      <c r="A132" s="23" t="s">
        <v>686</v>
      </c>
    </row>
    <row r="133" spans="1:1" x14ac:dyDescent="0.25">
      <c r="A133" s="23" t="s">
        <v>687</v>
      </c>
    </row>
    <row r="134" spans="1:1" x14ac:dyDescent="0.25">
      <c r="A134" s="23" t="s">
        <v>687</v>
      </c>
    </row>
    <row r="135" spans="1:1" x14ac:dyDescent="0.25">
      <c r="A135" s="23" t="s">
        <v>695</v>
      </c>
    </row>
    <row r="136" spans="1:1" x14ac:dyDescent="0.25">
      <c r="A136" s="23" t="s">
        <v>688</v>
      </c>
    </row>
    <row r="137" spans="1:1" x14ac:dyDescent="0.25">
      <c r="A137" s="23" t="s">
        <v>688</v>
      </c>
    </row>
    <row r="138" spans="1:1" x14ac:dyDescent="0.25">
      <c r="A138" s="23" t="s">
        <v>693</v>
      </c>
    </row>
    <row r="139" spans="1:1" x14ac:dyDescent="0.25">
      <c r="A139" s="23" t="s">
        <v>695</v>
      </c>
    </row>
    <row r="140" spans="1:1" x14ac:dyDescent="0.25">
      <c r="A140" s="23" t="s">
        <v>688</v>
      </c>
    </row>
    <row r="141" spans="1:1" x14ac:dyDescent="0.25">
      <c r="A141" s="23" t="s">
        <v>686</v>
      </c>
    </row>
    <row r="142" spans="1:1" x14ac:dyDescent="0.25">
      <c r="A142" s="23" t="s">
        <v>676</v>
      </c>
    </row>
    <row r="143" spans="1:1" x14ac:dyDescent="0.25">
      <c r="A143" s="23" t="s">
        <v>660</v>
      </c>
    </row>
    <row r="144" spans="1:1" x14ac:dyDescent="0.25">
      <c r="A144" s="23" t="s">
        <v>695</v>
      </c>
    </row>
    <row r="145" spans="1:1" x14ac:dyDescent="0.25">
      <c r="A145" s="23" t="s">
        <v>695</v>
      </c>
    </row>
    <row r="146" spans="1:1" x14ac:dyDescent="0.25">
      <c r="A146" s="23" t="s">
        <v>695</v>
      </c>
    </row>
    <row r="147" spans="1:1" x14ac:dyDescent="0.25">
      <c r="A147" s="23" t="s">
        <v>687</v>
      </c>
    </row>
    <row r="148" spans="1:1" x14ac:dyDescent="0.25">
      <c r="A148" s="23" t="s">
        <v>687</v>
      </c>
    </row>
    <row r="149" spans="1:1" x14ac:dyDescent="0.25">
      <c r="A149" s="23" t="s">
        <v>689</v>
      </c>
    </row>
    <row r="150" spans="1:1" x14ac:dyDescent="0.25">
      <c r="A150" s="23" t="s">
        <v>687</v>
      </c>
    </row>
    <row r="151" spans="1:1" x14ac:dyDescent="0.25">
      <c r="A151" s="23" t="s">
        <v>687</v>
      </c>
    </row>
    <row r="152" spans="1:1" x14ac:dyDescent="0.25">
      <c r="A152" s="23" t="s">
        <v>694</v>
      </c>
    </row>
    <row r="153" spans="1:1" x14ac:dyDescent="0.25">
      <c r="A153" s="23" t="s">
        <v>695</v>
      </c>
    </row>
    <row r="154" spans="1:1" x14ac:dyDescent="0.25">
      <c r="A154" s="23" t="s">
        <v>666</v>
      </c>
    </row>
    <row r="155" spans="1:1" x14ac:dyDescent="0.25">
      <c r="A155" s="23" t="s">
        <v>690</v>
      </c>
    </row>
    <row r="156" spans="1:1" x14ac:dyDescent="0.25">
      <c r="A156" s="23" t="s">
        <v>687</v>
      </c>
    </row>
    <row r="157" spans="1:1" x14ac:dyDescent="0.25">
      <c r="A157" s="23" t="s">
        <v>686</v>
      </c>
    </row>
    <row r="158" spans="1:1" x14ac:dyDescent="0.25">
      <c r="A158" s="23" t="s">
        <v>692</v>
      </c>
    </row>
    <row r="159" spans="1:1" x14ac:dyDescent="0.25">
      <c r="A159" s="23" t="s">
        <v>686</v>
      </c>
    </row>
    <row r="160" spans="1:1" x14ac:dyDescent="0.25">
      <c r="A160" s="23" t="s">
        <v>692</v>
      </c>
    </row>
    <row r="161" spans="1:1" x14ac:dyDescent="0.25">
      <c r="A161" s="23" t="s">
        <v>686</v>
      </c>
    </row>
    <row r="162" spans="1:1" x14ac:dyDescent="0.25">
      <c r="A162" s="23" t="s">
        <v>686</v>
      </c>
    </row>
    <row r="163" spans="1:1" x14ac:dyDescent="0.25">
      <c r="A163" s="23" t="s">
        <v>686</v>
      </c>
    </row>
    <row r="164" spans="1:1" x14ac:dyDescent="0.25">
      <c r="A164" s="23" t="s">
        <v>686</v>
      </c>
    </row>
    <row r="165" spans="1:1" x14ac:dyDescent="0.25">
      <c r="A165" s="23" t="s">
        <v>668</v>
      </c>
    </row>
    <row r="166" spans="1:1" x14ac:dyDescent="0.25">
      <c r="A166" s="23" t="s">
        <v>695</v>
      </c>
    </row>
    <row r="167" spans="1:1" x14ac:dyDescent="0.25">
      <c r="A167" s="23" t="s">
        <v>691</v>
      </c>
    </row>
    <row r="168" spans="1:1" x14ac:dyDescent="0.25">
      <c r="A168" s="23" t="s">
        <v>686</v>
      </c>
    </row>
    <row r="169" spans="1:1" x14ac:dyDescent="0.25">
      <c r="A169" s="23" t="s">
        <v>695</v>
      </c>
    </row>
    <row r="170" spans="1:1" x14ac:dyDescent="0.25">
      <c r="A170" s="23" t="s">
        <v>687</v>
      </c>
    </row>
    <row r="171" spans="1:1" x14ac:dyDescent="0.25">
      <c r="A171" s="23" t="s">
        <v>687</v>
      </c>
    </row>
    <row r="172" spans="1:1" x14ac:dyDescent="0.25">
      <c r="A172" s="23" t="s">
        <v>694</v>
      </c>
    </row>
    <row r="173" spans="1:1" x14ac:dyDescent="0.25">
      <c r="A173" s="23" t="s">
        <v>687</v>
      </c>
    </row>
    <row r="174" spans="1:1" x14ac:dyDescent="0.25">
      <c r="A174" s="23" t="s">
        <v>689</v>
      </c>
    </row>
    <row r="175" spans="1:1" x14ac:dyDescent="0.25">
      <c r="A175" s="23" t="s">
        <v>690</v>
      </c>
    </row>
    <row r="176" spans="1:1" x14ac:dyDescent="0.25">
      <c r="A176" s="23" t="s">
        <v>670</v>
      </c>
    </row>
    <row r="177" spans="1:1" x14ac:dyDescent="0.25">
      <c r="A177" s="23" t="s">
        <v>687</v>
      </c>
    </row>
    <row r="178" spans="1:1" x14ac:dyDescent="0.25">
      <c r="A178" s="23" t="s">
        <v>691</v>
      </c>
    </row>
    <row r="179" spans="1:1" x14ac:dyDescent="0.25">
      <c r="A179" s="23" t="s">
        <v>687</v>
      </c>
    </row>
    <row r="180" spans="1:1" x14ac:dyDescent="0.25">
      <c r="A180" s="23" t="s">
        <v>686</v>
      </c>
    </row>
    <row r="181" spans="1:1" x14ac:dyDescent="0.25">
      <c r="A181" s="23" t="s">
        <v>689</v>
      </c>
    </row>
    <row r="182" spans="1:1" x14ac:dyDescent="0.25">
      <c r="A182" s="23" t="s">
        <v>691</v>
      </c>
    </row>
    <row r="183" spans="1:1" x14ac:dyDescent="0.25">
      <c r="A183" s="23" t="s">
        <v>691</v>
      </c>
    </row>
    <row r="184" spans="1:1" x14ac:dyDescent="0.25">
      <c r="A184" s="23" t="s">
        <v>695</v>
      </c>
    </row>
    <row r="185" spans="1:1" x14ac:dyDescent="0.25">
      <c r="A185" s="23" t="s">
        <v>694</v>
      </c>
    </row>
    <row r="186" spans="1:1" x14ac:dyDescent="0.25">
      <c r="A186" s="23" t="s">
        <v>692</v>
      </c>
    </row>
    <row r="187" spans="1:1" x14ac:dyDescent="0.25">
      <c r="A187" s="23" t="s">
        <v>671</v>
      </c>
    </row>
    <row r="188" spans="1:1" x14ac:dyDescent="0.25">
      <c r="A188" s="23" t="s">
        <v>694</v>
      </c>
    </row>
    <row r="189" spans="1:1" x14ac:dyDescent="0.25">
      <c r="A189" s="23" t="s">
        <v>693</v>
      </c>
    </row>
    <row r="190" spans="1:1" x14ac:dyDescent="0.25">
      <c r="A190" s="23" t="s">
        <v>692</v>
      </c>
    </row>
    <row r="191" spans="1:1" x14ac:dyDescent="0.25">
      <c r="A191" s="23" t="s">
        <v>688</v>
      </c>
    </row>
    <row r="192" spans="1:1" x14ac:dyDescent="0.25">
      <c r="A192" s="23" t="s">
        <v>691</v>
      </c>
    </row>
    <row r="193" spans="1:1" x14ac:dyDescent="0.25">
      <c r="A193" s="23" t="s">
        <v>688</v>
      </c>
    </row>
    <row r="194" spans="1:1" x14ac:dyDescent="0.25">
      <c r="A194" s="23" t="s">
        <v>687</v>
      </c>
    </row>
    <row r="195" spans="1:1" x14ac:dyDescent="0.25">
      <c r="A195" s="23" t="s">
        <v>688</v>
      </c>
    </row>
    <row r="196" spans="1:1" x14ac:dyDescent="0.25">
      <c r="A196" s="23" t="s">
        <v>688</v>
      </c>
    </row>
    <row r="197" spans="1:1" x14ac:dyDescent="0.25">
      <c r="A197" s="23" t="s">
        <v>691</v>
      </c>
    </row>
    <row r="198" spans="1:1" x14ac:dyDescent="0.25">
      <c r="A198" s="23" t="s">
        <v>672</v>
      </c>
    </row>
    <row r="199" spans="1:1" x14ac:dyDescent="0.25">
      <c r="A199" s="23" t="s">
        <v>694</v>
      </c>
    </row>
    <row r="200" spans="1:1" x14ac:dyDescent="0.25">
      <c r="A200" s="23" t="s">
        <v>693</v>
      </c>
    </row>
    <row r="201" spans="1:1" x14ac:dyDescent="0.25">
      <c r="A201" s="23" t="s">
        <v>689</v>
      </c>
    </row>
    <row r="202" spans="1:1" x14ac:dyDescent="0.25">
      <c r="A202" s="23" t="s">
        <v>691</v>
      </c>
    </row>
    <row r="203" spans="1:1" x14ac:dyDescent="0.25">
      <c r="A203" s="23" t="s">
        <v>688</v>
      </c>
    </row>
    <row r="204" spans="1:1" x14ac:dyDescent="0.25">
      <c r="A204" s="23" t="s">
        <v>688</v>
      </c>
    </row>
    <row r="205" spans="1:1" x14ac:dyDescent="0.25">
      <c r="A205" s="23" t="s">
        <v>688</v>
      </c>
    </row>
    <row r="206" spans="1:1" x14ac:dyDescent="0.25">
      <c r="A206" s="23" t="s">
        <v>688</v>
      </c>
    </row>
    <row r="207" spans="1:1" x14ac:dyDescent="0.25">
      <c r="A207" s="23" t="s">
        <v>688</v>
      </c>
    </row>
    <row r="208" spans="1:1" x14ac:dyDescent="0.25">
      <c r="A208" s="23" t="s">
        <v>688</v>
      </c>
    </row>
    <row r="209" spans="1:1" x14ac:dyDescent="0.25">
      <c r="A209" s="23" t="s">
        <v>677</v>
      </c>
    </row>
    <row r="210" spans="1:1" x14ac:dyDescent="0.25">
      <c r="A210" s="23" t="s">
        <v>660</v>
      </c>
    </row>
    <row r="211" spans="1:1" x14ac:dyDescent="0.25">
      <c r="A211" s="23" t="s">
        <v>691</v>
      </c>
    </row>
    <row r="212" spans="1:1" x14ac:dyDescent="0.25">
      <c r="A212" s="23" t="s">
        <v>688</v>
      </c>
    </row>
    <row r="213" spans="1:1" x14ac:dyDescent="0.25">
      <c r="A213" s="23" t="s">
        <v>686</v>
      </c>
    </row>
    <row r="214" spans="1:1" x14ac:dyDescent="0.25">
      <c r="A214" s="23" t="s">
        <v>692</v>
      </c>
    </row>
    <row r="215" spans="1:1" x14ac:dyDescent="0.25">
      <c r="A215" s="23" t="s">
        <v>693</v>
      </c>
    </row>
    <row r="216" spans="1:1" x14ac:dyDescent="0.25">
      <c r="A216" s="23" t="s">
        <v>690</v>
      </c>
    </row>
    <row r="217" spans="1:1" x14ac:dyDescent="0.25">
      <c r="A217" s="23" t="s">
        <v>691</v>
      </c>
    </row>
    <row r="218" spans="1:1" x14ac:dyDescent="0.25">
      <c r="A218" s="23" t="s">
        <v>691</v>
      </c>
    </row>
    <row r="219" spans="1:1" x14ac:dyDescent="0.25">
      <c r="A219" s="23" t="s">
        <v>693</v>
      </c>
    </row>
    <row r="220" spans="1:1" x14ac:dyDescent="0.25">
      <c r="A220" s="23" t="s">
        <v>690</v>
      </c>
    </row>
    <row r="221" spans="1:1" x14ac:dyDescent="0.25">
      <c r="A221" s="23" t="s">
        <v>666</v>
      </c>
    </row>
    <row r="222" spans="1:1" x14ac:dyDescent="0.25">
      <c r="A222" s="23" t="s">
        <v>690</v>
      </c>
    </row>
    <row r="223" spans="1:1" x14ac:dyDescent="0.25">
      <c r="A223" s="23" t="s">
        <v>690</v>
      </c>
    </row>
    <row r="224" spans="1:1" x14ac:dyDescent="0.25">
      <c r="A224" s="23" t="s">
        <v>686</v>
      </c>
    </row>
    <row r="225" spans="1:1" x14ac:dyDescent="0.25">
      <c r="A225" s="23" t="s">
        <v>686</v>
      </c>
    </row>
    <row r="226" spans="1:1" x14ac:dyDescent="0.25">
      <c r="A226" s="23" t="s">
        <v>695</v>
      </c>
    </row>
    <row r="227" spans="1:1" x14ac:dyDescent="0.25">
      <c r="A227" s="23" t="s">
        <v>686</v>
      </c>
    </row>
    <row r="228" spans="1:1" x14ac:dyDescent="0.25">
      <c r="A228" s="23" t="s">
        <v>689</v>
      </c>
    </row>
    <row r="229" spans="1:1" x14ac:dyDescent="0.25">
      <c r="A229" s="23" t="s">
        <v>690</v>
      </c>
    </row>
    <row r="230" spans="1:1" x14ac:dyDescent="0.25">
      <c r="A230" s="23" t="s">
        <v>695</v>
      </c>
    </row>
    <row r="231" spans="1:1" x14ac:dyDescent="0.25">
      <c r="A231" s="23" t="s">
        <v>687</v>
      </c>
    </row>
    <row r="232" spans="1:1" x14ac:dyDescent="0.25">
      <c r="A232" s="23" t="s">
        <v>668</v>
      </c>
    </row>
    <row r="233" spans="1:1" x14ac:dyDescent="0.25">
      <c r="A233" s="23" t="s">
        <v>692</v>
      </c>
    </row>
    <row r="234" spans="1:1" x14ac:dyDescent="0.25">
      <c r="A234" s="23" t="s">
        <v>691</v>
      </c>
    </row>
    <row r="235" spans="1:1" x14ac:dyDescent="0.25">
      <c r="A235" s="23" t="s">
        <v>688</v>
      </c>
    </row>
    <row r="236" spans="1:1" x14ac:dyDescent="0.25">
      <c r="A236" s="23" t="s">
        <v>691</v>
      </c>
    </row>
    <row r="237" spans="1:1" x14ac:dyDescent="0.25">
      <c r="A237" s="23" t="s">
        <v>695</v>
      </c>
    </row>
    <row r="238" spans="1:1" x14ac:dyDescent="0.25">
      <c r="A238" s="23" t="s">
        <v>694</v>
      </c>
    </row>
    <row r="239" spans="1:1" x14ac:dyDescent="0.25">
      <c r="A239" s="23" t="s">
        <v>691</v>
      </c>
    </row>
    <row r="240" spans="1:1" x14ac:dyDescent="0.25">
      <c r="A240" s="23" t="s">
        <v>686</v>
      </c>
    </row>
    <row r="241" spans="1:1" x14ac:dyDescent="0.25">
      <c r="A241" s="23" t="s">
        <v>688</v>
      </c>
    </row>
    <row r="242" spans="1:1" x14ac:dyDescent="0.25">
      <c r="A242" s="23" t="s">
        <v>689</v>
      </c>
    </row>
    <row r="243" spans="1:1" x14ac:dyDescent="0.25">
      <c r="A243" s="23" t="s">
        <v>670</v>
      </c>
    </row>
    <row r="244" spans="1:1" x14ac:dyDescent="0.25">
      <c r="A244" s="23" t="s">
        <v>687</v>
      </c>
    </row>
    <row r="245" spans="1:1" x14ac:dyDescent="0.25">
      <c r="A245" s="23" t="s">
        <v>686</v>
      </c>
    </row>
    <row r="246" spans="1:1" x14ac:dyDescent="0.25">
      <c r="A246" s="23" t="s">
        <v>692</v>
      </c>
    </row>
    <row r="247" spans="1:1" x14ac:dyDescent="0.25">
      <c r="A247" s="23" t="s">
        <v>687</v>
      </c>
    </row>
    <row r="248" spans="1:1" x14ac:dyDescent="0.25">
      <c r="A248" s="23" t="s">
        <v>695</v>
      </c>
    </row>
    <row r="249" spans="1:1" x14ac:dyDescent="0.25">
      <c r="A249" s="23" t="s">
        <v>688</v>
      </c>
    </row>
    <row r="250" spans="1:1" x14ac:dyDescent="0.25">
      <c r="A250" s="23" t="s">
        <v>691</v>
      </c>
    </row>
    <row r="251" spans="1:1" x14ac:dyDescent="0.25">
      <c r="A251" s="23" t="s">
        <v>695</v>
      </c>
    </row>
    <row r="252" spans="1:1" x14ac:dyDescent="0.25">
      <c r="A252" s="23" t="s">
        <v>686</v>
      </c>
    </row>
    <row r="253" spans="1:1" x14ac:dyDescent="0.25">
      <c r="A253" s="23" t="s">
        <v>694</v>
      </c>
    </row>
    <row r="254" spans="1:1" x14ac:dyDescent="0.25">
      <c r="A254" s="23" t="s">
        <v>671</v>
      </c>
    </row>
    <row r="255" spans="1:1" x14ac:dyDescent="0.25">
      <c r="A255" s="23" t="s">
        <v>692</v>
      </c>
    </row>
    <row r="256" spans="1:1" x14ac:dyDescent="0.25">
      <c r="A256" s="23" t="s">
        <v>690</v>
      </c>
    </row>
    <row r="257" spans="1:1" x14ac:dyDescent="0.25">
      <c r="A257" s="23" t="s">
        <v>689</v>
      </c>
    </row>
    <row r="258" spans="1:1" x14ac:dyDescent="0.25">
      <c r="A258" s="23" t="s">
        <v>689</v>
      </c>
    </row>
    <row r="259" spans="1:1" x14ac:dyDescent="0.25">
      <c r="A259" s="23" t="s">
        <v>694</v>
      </c>
    </row>
    <row r="260" spans="1:1" x14ac:dyDescent="0.25">
      <c r="A260" s="23" t="s">
        <v>695</v>
      </c>
    </row>
    <row r="261" spans="1:1" x14ac:dyDescent="0.25">
      <c r="A261" s="23" t="s">
        <v>695</v>
      </c>
    </row>
    <row r="262" spans="1:1" x14ac:dyDescent="0.25">
      <c r="A262" s="23" t="s">
        <v>695</v>
      </c>
    </row>
    <row r="263" spans="1:1" x14ac:dyDescent="0.25">
      <c r="A263" s="23" t="s">
        <v>692</v>
      </c>
    </row>
    <row r="264" spans="1:1" x14ac:dyDescent="0.25">
      <c r="A264" s="23" t="s">
        <v>695</v>
      </c>
    </row>
    <row r="265" spans="1:1" x14ac:dyDescent="0.25">
      <c r="A265" s="23" t="s">
        <v>672</v>
      </c>
    </row>
    <row r="266" spans="1:1" x14ac:dyDescent="0.25">
      <c r="A266" s="23" t="s">
        <v>686</v>
      </c>
    </row>
    <row r="267" spans="1:1" x14ac:dyDescent="0.25">
      <c r="A267" s="23" t="s">
        <v>686</v>
      </c>
    </row>
    <row r="268" spans="1:1" x14ac:dyDescent="0.25">
      <c r="A268" s="23" t="s">
        <v>686</v>
      </c>
    </row>
    <row r="269" spans="1:1" x14ac:dyDescent="0.25">
      <c r="A269" s="23" t="s">
        <v>687</v>
      </c>
    </row>
    <row r="270" spans="1:1" x14ac:dyDescent="0.25">
      <c r="A270" s="23" t="s">
        <v>686</v>
      </c>
    </row>
    <row r="271" spans="1:1" x14ac:dyDescent="0.25">
      <c r="A271" s="23" t="s">
        <v>688</v>
      </c>
    </row>
    <row r="272" spans="1:1" x14ac:dyDescent="0.25">
      <c r="A272" s="23" t="s">
        <v>695</v>
      </c>
    </row>
    <row r="273" spans="1:1" x14ac:dyDescent="0.25">
      <c r="A273" s="23" t="s">
        <v>691</v>
      </c>
    </row>
    <row r="274" spans="1:1" x14ac:dyDescent="0.25">
      <c r="A274" s="23" t="s">
        <v>691</v>
      </c>
    </row>
    <row r="275" spans="1:1" x14ac:dyDescent="0.25">
      <c r="A275" s="23" t="s">
        <v>688</v>
      </c>
    </row>
    <row r="276" spans="1:1" x14ac:dyDescent="0.25">
      <c r="A276" s="23" t="s">
        <v>678</v>
      </c>
    </row>
    <row r="277" spans="1:1" x14ac:dyDescent="0.25">
      <c r="A277" s="23" t="s">
        <v>660</v>
      </c>
    </row>
    <row r="278" spans="1:1" x14ac:dyDescent="0.25">
      <c r="A278" s="23" t="s">
        <v>695</v>
      </c>
    </row>
    <row r="279" spans="1:1" x14ac:dyDescent="0.25">
      <c r="A279" s="23" t="s">
        <v>687</v>
      </c>
    </row>
    <row r="280" spans="1:1" x14ac:dyDescent="0.25">
      <c r="A280" s="23" t="s">
        <v>687</v>
      </c>
    </row>
    <row r="281" spans="1:1" x14ac:dyDescent="0.25">
      <c r="A281" s="23" t="s">
        <v>686</v>
      </c>
    </row>
    <row r="282" spans="1:1" x14ac:dyDescent="0.25">
      <c r="A282" s="23" t="s">
        <v>687</v>
      </c>
    </row>
    <row r="283" spans="1:1" x14ac:dyDescent="0.25">
      <c r="A283" s="23" t="s">
        <v>687</v>
      </c>
    </row>
    <row r="284" spans="1:1" x14ac:dyDescent="0.25">
      <c r="A284" s="23" t="s">
        <v>688</v>
      </c>
    </row>
    <row r="285" spans="1:1" x14ac:dyDescent="0.25">
      <c r="A285" s="23" t="s">
        <v>688</v>
      </c>
    </row>
    <row r="286" spans="1:1" x14ac:dyDescent="0.25">
      <c r="A286" s="23" t="s">
        <v>687</v>
      </c>
    </row>
    <row r="287" spans="1:1" x14ac:dyDescent="0.25">
      <c r="A287" s="23" t="s">
        <v>695</v>
      </c>
    </row>
    <row r="288" spans="1:1" x14ac:dyDescent="0.25">
      <c r="A288" s="23" t="s">
        <v>666</v>
      </c>
    </row>
    <row r="289" spans="1:1" x14ac:dyDescent="0.25">
      <c r="A289" s="23" t="s">
        <v>695</v>
      </c>
    </row>
    <row r="290" spans="1:1" x14ac:dyDescent="0.25">
      <c r="A290" s="23" t="s">
        <v>687</v>
      </c>
    </row>
    <row r="291" spans="1:1" x14ac:dyDescent="0.25">
      <c r="A291" s="23" t="s">
        <v>687</v>
      </c>
    </row>
    <row r="292" spans="1:1" x14ac:dyDescent="0.25">
      <c r="A292" s="23" t="s">
        <v>689</v>
      </c>
    </row>
    <row r="293" spans="1:1" x14ac:dyDescent="0.25">
      <c r="A293" s="23" t="s">
        <v>694</v>
      </c>
    </row>
    <row r="294" spans="1:1" x14ac:dyDescent="0.25">
      <c r="A294" s="23" t="s">
        <v>687</v>
      </c>
    </row>
    <row r="295" spans="1:1" x14ac:dyDescent="0.25">
      <c r="A295" s="23" t="s">
        <v>688</v>
      </c>
    </row>
    <row r="296" spans="1:1" x14ac:dyDescent="0.25">
      <c r="A296" s="23" t="s">
        <v>691</v>
      </c>
    </row>
    <row r="297" spans="1:1" x14ac:dyDescent="0.25">
      <c r="A297" s="23" t="s">
        <v>690</v>
      </c>
    </row>
    <row r="298" spans="1:1" x14ac:dyDescent="0.25">
      <c r="A298" s="23" t="s">
        <v>688</v>
      </c>
    </row>
    <row r="299" spans="1:1" x14ac:dyDescent="0.25">
      <c r="A299" s="23" t="s">
        <v>668</v>
      </c>
    </row>
    <row r="300" spans="1:1" x14ac:dyDescent="0.25">
      <c r="A300" s="23" t="s">
        <v>690</v>
      </c>
    </row>
    <row r="301" spans="1:1" x14ac:dyDescent="0.25">
      <c r="A301" s="23" t="s">
        <v>690</v>
      </c>
    </row>
    <row r="302" spans="1:1" x14ac:dyDescent="0.25">
      <c r="A302" s="23" t="s">
        <v>690</v>
      </c>
    </row>
    <row r="303" spans="1:1" x14ac:dyDescent="0.25">
      <c r="A303" s="23" t="s">
        <v>694</v>
      </c>
    </row>
    <row r="304" spans="1:1" x14ac:dyDescent="0.25">
      <c r="A304" s="23" t="s">
        <v>694</v>
      </c>
    </row>
    <row r="305" spans="1:1" x14ac:dyDescent="0.25">
      <c r="A305" s="23" t="s">
        <v>695</v>
      </c>
    </row>
    <row r="306" spans="1:1" x14ac:dyDescent="0.25">
      <c r="A306" s="23" t="s">
        <v>688</v>
      </c>
    </row>
    <row r="307" spans="1:1" x14ac:dyDescent="0.25">
      <c r="A307" s="23" t="s">
        <v>695</v>
      </c>
    </row>
    <row r="308" spans="1:1" x14ac:dyDescent="0.25">
      <c r="A308" s="23" t="s">
        <v>694</v>
      </c>
    </row>
    <row r="309" spans="1:1" x14ac:dyDescent="0.25">
      <c r="A309" s="23" t="s">
        <v>694</v>
      </c>
    </row>
    <row r="310" spans="1:1" x14ac:dyDescent="0.25">
      <c r="A310" s="23" t="s">
        <v>670</v>
      </c>
    </row>
    <row r="311" spans="1:1" x14ac:dyDescent="0.25">
      <c r="A311" s="23" t="s">
        <v>691</v>
      </c>
    </row>
    <row r="312" spans="1:1" x14ac:dyDescent="0.25">
      <c r="A312" s="23" t="s">
        <v>688</v>
      </c>
    </row>
    <row r="313" spans="1:1" x14ac:dyDescent="0.25">
      <c r="A313" s="23" t="s">
        <v>686</v>
      </c>
    </row>
    <row r="314" spans="1:1" x14ac:dyDescent="0.25">
      <c r="A314" s="23" t="s">
        <v>694</v>
      </c>
    </row>
    <row r="315" spans="1:1" x14ac:dyDescent="0.25">
      <c r="A315" s="23" t="s">
        <v>694</v>
      </c>
    </row>
    <row r="316" spans="1:1" x14ac:dyDescent="0.25">
      <c r="A316" s="23" t="s">
        <v>686</v>
      </c>
    </row>
    <row r="317" spans="1:1" x14ac:dyDescent="0.25">
      <c r="A317" s="23" t="s">
        <v>693</v>
      </c>
    </row>
    <row r="318" spans="1:1" x14ac:dyDescent="0.25">
      <c r="A318" s="23" t="s">
        <v>695</v>
      </c>
    </row>
    <row r="319" spans="1:1" x14ac:dyDescent="0.25">
      <c r="A319" s="23" t="s">
        <v>688</v>
      </c>
    </row>
    <row r="320" spans="1:1" x14ac:dyDescent="0.25">
      <c r="A320" s="23" t="s">
        <v>688</v>
      </c>
    </row>
    <row r="321" spans="1:1" x14ac:dyDescent="0.25">
      <c r="A321" s="23" t="s">
        <v>671</v>
      </c>
    </row>
    <row r="322" spans="1:1" x14ac:dyDescent="0.25">
      <c r="A322" s="23" t="s">
        <v>693</v>
      </c>
    </row>
    <row r="323" spans="1:1" x14ac:dyDescent="0.25">
      <c r="A323" s="23" t="s">
        <v>692</v>
      </c>
    </row>
    <row r="324" spans="1:1" x14ac:dyDescent="0.25">
      <c r="A324" s="23" t="s">
        <v>695</v>
      </c>
    </row>
    <row r="325" spans="1:1" x14ac:dyDescent="0.25">
      <c r="A325" s="23" t="s">
        <v>691</v>
      </c>
    </row>
    <row r="326" spans="1:1" x14ac:dyDescent="0.25">
      <c r="A326" s="23" t="s">
        <v>687</v>
      </c>
    </row>
    <row r="327" spans="1:1" x14ac:dyDescent="0.25">
      <c r="A327" s="23" t="s">
        <v>694</v>
      </c>
    </row>
    <row r="328" spans="1:1" x14ac:dyDescent="0.25">
      <c r="A328" s="23" t="s">
        <v>688</v>
      </c>
    </row>
    <row r="329" spans="1:1" x14ac:dyDescent="0.25">
      <c r="A329" s="23" t="s">
        <v>686</v>
      </c>
    </row>
    <row r="330" spans="1:1" x14ac:dyDescent="0.25">
      <c r="A330" s="23" t="s">
        <v>693</v>
      </c>
    </row>
    <row r="331" spans="1:1" x14ac:dyDescent="0.25">
      <c r="A331" s="23" t="s">
        <v>692</v>
      </c>
    </row>
    <row r="332" spans="1:1" x14ac:dyDescent="0.25">
      <c r="A332" s="23" t="s">
        <v>672</v>
      </c>
    </row>
    <row r="333" spans="1:1" x14ac:dyDescent="0.25">
      <c r="A333" s="23" t="s">
        <v>686</v>
      </c>
    </row>
    <row r="334" spans="1:1" x14ac:dyDescent="0.25">
      <c r="A334" s="23" t="s">
        <v>686</v>
      </c>
    </row>
    <row r="335" spans="1:1" x14ac:dyDescent="0.25">
      <c r="A335" s="23" t="s">
        <v>687</v>
      </c>
    </row>
    <row r="336" spans="1:1" x14ac:dyDescent="0.25">
      <c r="A336" s="23" t="s">
        <v>686</v>
      </c>
    </row>
    <row r="337" spans="1:1" x14ac:dyDescent="0.25">
      <c r="A337" s="23" t="s">
        <v>687</v>
      </c>
    </row>
    <row r="338" spans="1:1" x14ac:dyDescent="0.25">
      <c r="A338" s="23" t="s">
        <v>686</v>
      </c>
    </row>
    <row r="339" spans="1:1" x14ac:dyDescent="0.25">
      <c r="A339" s="23" t="s">
        <v>687</v>
      </c>
    </row>
    <row r="340" spans="1:1" x14ac:dyDescent="0.25">
      <c r="A340" s="23" t="s">
        <v>687</v>
      </c>
    </row>
    <row r="341" spans="1:1" x14ac:dyDescent="0.25">
      <c r="A341" s="23" t="s">
        <v>692</v>
      </c>
    </row>
    <row r="342" spans="1:1" x14ac:dyDescent="0.25">
      <c r="A342" s="23" t="s">
        <v>687</v>
      </c>
    </row>
    <row r="343" spans="1:1" x14ac:dyDescent="0.25">
      <c r="A343" s="23" t="s">
        <v>679</v>
      </c>
    </row>
    <row r="344" spans="1:1" x14ac:dyDescent="0.25">
      <c r="A344" s="23" t="s">
        <v>660</v>
      </c>
    </row>
    <row r="345" spans="1:1" x14ac:dyDescent="0.25">
      <c r="A345" s="23" t="s">
        <v>691</v>
      </c>
    </row>
    <row r="346" spans="1:1" x14ac:dyDescent="0.25">
      <c r="A346" s="23" t="s">
        <v>687</v>
      </c>
    </row>
    <row r="347" spans="1:1" x14ac:dyDescent="0.25">
      <c r="A347" s="23" t="s">
        <v>690</v>
      </c>
    </row>
    <row r="348" spans="1:1" x14ac:dyDescent="0.25">
      <c r="A348" s="23" t="s">
        <v>689</v>
      </c>
    </row>
    <row r="349" spans="1:1" x14ac:dyDescent="0.25">
      <c r="A349" s="23" t="s">
        <v>693</v>
      </c>
    </row>
    <row r="350" spans="1:1" x14ac:dyDescent="0.25">
      <c r="A350" s="23" t="s">
        <v>689</v>
      </c>
    </row>
    <row r="351" spans="1:1" x14ac:dyDescent="0.25">
      <c r="A351" s="23" t="s">
        <v>687</v>
      </c>
    </row>
    <row r="352" spans="1:1" x14ac:dyDescent="0.25">
      <c r="A352" s="23" t="s">
        <v>688</v>
      </c>
    </row>
    <row r="353" spans="1:1" x14ac:dyDescent="0.25">
      <c r="A353" s="23" t="s">
        <v>688</v>
      </c>
    </row>
    <row r="354" spans="1:1" x14ac:dyDescent="0.25">
      <c r="A354" s="23" t="s">
        <v>688</v>
      </c>
    </row>
    <row r="355" spans="1:1" x14ac:dyDescent="0.25">
      <c r="A355" s="23" t="s">
        <v>666</v>
      </c>
    </row>
    <row r="356" spans="1:1" x14ac:dyDescent="0.25">
      <c r="A356" s="23" t="s">
        <v>691</v>
      </c>
    </row>
    <row r="357" spans="1:1" x14ac:dyDescent="0.25">
      <c r="A357" s="23" t="s">
        <v>688</v>
      </c>
    </row>
    <row r="358" spans="1:1" x14ac:dyDescent="0.25">
      <c r="A358" s="23" t="s">
        <v>687</v>
      </c>
    </row>
    <row r="359" spans="1:1" x14ac:dyDescent="0.25">
      <c r="A359" s="23" t="s">
        <v>690</v>
      </c>
    </row>
    <row r="360" spans="1:1" x14ac:dyDescent="0.25">
      <c r="A360" s="23" t="s">
        <v>695</v>
      </c>
    </row>
    <row r="361" spans="1:1" x14ac:dyDescent="0.25">
      <c r="A361" s="23" t="s">
        <v>689</v>
      </c>
    </row>
    <row r="362" spans="1:1" x14ac:dyDescent="0.25">
      <c r="A362" s="23" t="s">
        <v>692</v>
      </c>
    </row>
    <row r="363" spans="1:1" x14ac:dyDescent="0.25">
      <c r="A363" s="23" t="s">
        <v>690</v>
      </c>
    </row>
    <row r="364" spans="1:1" x14ac:dyDescent="0.25">
      <c r="A364" s="23" t="s">
        <v>692</v>
      </c>
    </row>
    <row r="365" spans="1:1" x14ac:dyDescent="0.25">
      <c r="A365" s="23" t="s">
        <v>687</v>
      </c>
    </row>
    <row r="366" spans="1:1" x14ac:dyDescent="0.25">
      <c r="A366" s="23" t="s">
        <v>668</v>
      </c>
    </row>
    <row r="367" spans="1:1" x14ac:dyDescent="0.25">
      <c r="A367" s="23" t="s">
        <v>691</v>
      </c>
    </row>
    <row r="368" spans="1:1" x14ac:dyDescent="0.25">
      <c r="A368" s="23" t="s">
        <v>688</v>
      </c>
    </row>
    <row r="369" spans="1:1" x14ac:dyDescent="0.25">
      <c r="A369" s="23" t="s">
        <v>695</v>
      </c>
    </row>
    <row r="370" spans="1:1" x14ac:dyDescent="0.25">
      <c r="A370" s="23" t="s">
        <v>692</v>
      </c>
    </row>
    <row r="371" spans="1:1" x14ac:dyDescent="0.25">
      <c r="A371" s="23" t="s">
        <v>692</v>
      </c>
    </row>
    <row r="372" spans="1:1" x14ac:dyDescent="0.25">
      <c r="A372" s="23" t="s">
        <v>688</v>
      </c>
    </row>
    <row r="373" spans="1:1" x14ac:dyDescent="0.25">
      <c r="A373" s="23" t="s">
        <v>694</v>
      </c>
    </row>
    <row r="374" spans="1:1" x14ac:dyDescent="0.25">
      <c r="A374" s="23" t="s">
        <v>692</v>
      </c>
    </row>
    <row r="375" spans="1:1" x14ac:dyDescent="0.25">
      <c r="A375" s="23" t="s">
        <v>694</v>
      </c>
    </row>
    <row r="376" spans="1:1" x14ac:dyDescent="0.25">
      <c r="A376" s="23" t="s">
        <v>686</v>
      </c>
    </row>
    <row r="377" spans="1:1" x14ac:dyDescent="0.25">
      <c r="A377" s="23" t="s">
        <v>670</v>
      </c>
    </row>
    <row r="378" spans="1:1" x14ac:dyDescent="0.25">
      <c r="A378" s="23" t="s">
        <v>695</v>
      </c>
    </row>
    <row r="379" spans="1:1" x14ac:dyDescent="0.25">
      <c r="A379" s="23" t="s">
        <v>691</v>
      </c>
    </row>
    <row r="380" spans="1:1" x14ac:dyDescent="0.25">
      <c r="A380" s="23" t="s">
        <v>693</v>
      </c>
    </row>
    <row r="381" spans="1:1" x14ac:dyDescent="0.25">
      <c r="A381" s="23" t="s">
        <v>695</v>
      </c>
    </row>
    <row r="382" spans="1:1" x14ac:dyDescent="0.25">
      <c r="A382" s="23" t="s">
        <v>692</v>
      </c>
    </row>
    <row r="383" spans="1:1" x14ac:dyDescent="0.25">
      <c r="A383" s="23" t="s">
        <v>694</v>
      </c>
    </row>
    <row r="384" spans="1:1" x14ac:dyDescent="0.25">
      <c r="A384" s="23" t="s">
        <v>694</v>
      </c>
    </row>
    <row r="385" spans="1:1" x14ac:dyDescent="0.25">
      <c r="A385" s="23" t="s">
        <v>688</v>
      </c>
    </row>
    <row r="386" spans="1:1" x14ac:dyDescent="0.25">
      <c r="A386" s="23" t="s">
        <v>694</v>
      </c>
    </row>
    <row r="387" spans="1:1" x14ac:dyDescent="0.25">
      <c r="A387" s="23" t="s">
        <v>693</v>
      </c>
    </row>
    <row r="388" spans="1:1" x14ac:dyDescent="0.25">
      <c r="A388" s="23" t="s">
        <v>671</v>
      </c>
    </row>
    <row r="389" spans="1:1" x14ac:dyDescent="0.25">
      <c r="A389" s="23" t="s">
        <v>687</v>
      </c>
    </row>
    <row r="390" spans="1:1" x14ac:dyDescent="0.25">
      <c r="A390" s="23" t="s">
        <v>688</v>
      </c>
    </row>
    <row r="391" spans="1:1" x14ac:dyDescent="0.25">
      <c r="A391" s="23" t="s">
        <v>691</v>
      </c>
    </row>
    <row r="392" spans="1:1" x14ac:dyDescent="0.25">
      <c r="A392" s="23" t="s">
        <v>691</v>
      </c>
    </row>
    <row r="393" spans="1:1" x14ac:dyDescent="0.25">
      <c r="A393" s="23" t="s">
        <v>690</v>
      </c>
    </row>
    <row r="394" spans="1:1" x14ac:dyDescent="0.25">
      <c r="A394" s="23" t="s">
        <v>690</v>
      </c>
    </row>
    <row r="395" spans="1:1" x14ac:dyDescent="0.25">
      <c r="A395" s="23" t="s">
        <v>691</v>
      </c>
    </row>
    <row r="396" spans="1:1" x14ac:dyDescent="0.25">
      <c r="A396" s="23" t="s">
        <v>693</v>
      </c>
    </row>
    <row r="397" spans="1:1" x14ac:dyDescent="0.25">
      <c r="A397" s="23" t="s">
        <v>691</v>
      </c>
    </row>
    <row r="398" spans="1:1" x14ac:dyDescent="0.25">
      <c r="A398" s="23" t="s">
        <v>695</v>
      </c>
    </row>
    <row r="399" spans="1:1" x14ac:dyDescent="0.25">
      <c r="A399" s="23" t="s">
        <v>672</v>
      </c>
    </row>
    <row r="400" spans="1:1" x14ac:dyDescent="0.25">
      <c r="A400" s="23" t="s">
        <v>686</v>
      </c>
    </row>
    <row r="401" spans="1:1" x14ac:dyDescent="0.25">
      <c r="A401" s="23" t="s">
        <v>686</v>
      </c>
    </row>
    <row r="402" spans="1:1" x14ac:dyDescent="0.25">
      <c r="A402" s="23" t="s">
        <v>686</v>
      </c>
    </row>
    <row r="403" spans="1:1" x14ac:dyDescent="0.25">
      <c r="A403" s="23" t="s">
        <v>686</v>
      </c>
    </row>
    <row r="404" spans="1:1" x14ac:dyDescent="0.25">
      <c r="A404" s="23" t="s">
        <v>686</v>
      </c>
    </row>
    <row r="405" spans="1:1" x14ac:dyDescent="0.25">
      <c r="A405" s="23" t="s">
        <v>694</v>
      </c>
    </row>
    <row r="406" spans="1:1" x14ac:dyDescent="0.25">
      <c r="A406" s="23" t="s">
        <v>695</v>
      </c>
    </row>
    <row r="407" spans="1:1" x14ac:dyDescent="0.25">
      <c r="A407" s="23" t="s">
        <v>695</v>
      </c>
    </row>
    <row r="408" spans="1:1" x14ac:dyDescent="0.25">
      <c r="A408" s="23" t="s">
        <v>695</v>
      </c>
    </row>
    <row r="409" spans="1:1" x14ac:dyDescent="0.25">
      <c r="A409" s="23" t="s">
        <v>694</v>
      </c>
    </row>
    <row r="410" spans="1:1" x14ac:dyDescent="0.25">
      <c r="A410" s="23" t="s">
        <v>680</v>
      </c>
    </row>
    <row r="411" spans="1:1" x14ac:dyDescent="0.25">
      <c r="A411" s="23" t="s">
        <v>660</v>
      </c>
    </row>
    <row r="412" spans="1:1" x14ac:dyDescent="0.25">
      <c r="A412" s="23" t="s">
        <v>690</v>
      </c>
    </row>
    <row r="413" spans="1:1" x14ac:dyDescent="0.25">
      <c r="A413" s="23" t="s">
        <v>691</v>
      </c>
    </row>
    <row r="414" spans="1:1" x14ac:dyDescent="0.25">
      <c r="A414" s="23" t="s">
        <v>688</v>
      </c>
    </row>
    <row r="415" spans="1:1" x14ac:dyDescent="0.25">
      <c r="A415" s="23" t="s">
        <v>691</v>
      </c>
    </row>
    <row r="416" spans="1:1" x14ac:dyDescent="0.25">
      <c r="A416" s="23" t="s">
        <v>695</v>
      </c>
    </row>
    <row r="417" spans="1:1" x14ac:dyDescent="0.25">
      <c r="A417" s="23" t="s">
        <v>689</v>
      </c>
    </row>
    <row r="418" spans="1:1" x14ac:dyDescent="0.25">
      <c r="A418" s="23" t="s">
        <v>690</v>
      </c>
    </row>
    <row r="419" spans="1:1" x14ac:dyDescent="0.25">
      <c r="A419" s="23" t="s">
        <v>691</v>
      </c>
    </row>
    <row r="420" spans="1:1" x14ac:dyDescent="0.25">
      <c r="A420" s="23" t="s">
        <v>689</v>
      </c>
    </row>
    <row r="421" spans="1:1" x14ac:dyDescent="0.25">
      <c r="A421" s="23" t="s">
        <v>692</v>
      </c>
    </row>
    <row r="422" spans="1:1" x14ac:dyDescent="0.25">
      <c r="A422" s="23" t="s">
        <v>666</v>
      </c>
    </row>
    <row r="423" spans="1:1" x14ac:dyDescent="0.25">
      <c r="A423" s="23" t="s">
        <v>694</v>
      </c>
    </row>
    <row r="424" spans="1:1" x14ac:dyDescent="0.25">
      <c r="A424" s="23" t="s">
        <v>688</v>
      </c>
    </row>
    <row r="425" spans="1:1" x14ac:dyDescent="0.25">
      <c r="A425" s="23" t="s">
        <v>695</v>
      </c>
    </row>
    <row r="426" spans="1:1" x14ac:dyDescent="0.25">
      <c r="A426" s="23" t="s">
        <v>695</v>
      </c>
    </row>
    <row r="427" spans="1:1" x14ac:dyDescent="0.25">
      <c r="A427" s="23" t="s">
        <v>686</v>
      </c>
    </row>
    <row r="428" spans="1:1" x14ac:dyDescent="0.25">
      <c r="A428" s="23" t="s">
        <v>694</v>
      </c>
    </row>
    <row r="429" spans="1:1" x14ac:dyDescent="0.25">
      <c r="A429" s="23" t="s">
        <v>689</v>
      </c>
    </row>
    <row r="430" spans="1:1" x14ac:dyDescent="0.25">
      <c r="A430" s="23" t="s">
        <v>690</v>
      </c>
    </row>
    <row r="431" spans="1:1" x14ac:dyDescent="0.25">
      <c r="A431" s="23" t="s">
        <v>695</v>
      </c>
    </row>
    <row r="432" spans="1:1" x14ac:dyDescent="0.25">
      <c r="A432" s="23" t="s">
        <v>692</v>
      </c>
    </row>
    <row r="433" spans="1:1" x14ac:dyDescent="0.25">
      <c r="A433" s="23" t="s">
        <v>668</v>
      </c>
    </row>
    <row r="434" spans="1:1" x14ac:dyDescent="0.25">
      <c r="A434" s="23" t="s">
        <v>691</v>
      </c>
    </row>
    <row r="435" spans="1:1" x14ac:dyDescent="0.25">
      <c r="A435" s="23" t="s">
        <v>687</v>
      </c>
    </row>
    <row r="436" spans="1:1" x14ac:dyDescent="0.25">
      <c r="A436" s="23" t="s">
        <v>694</v>
      </c>
    </row>
    <row r="437" spans="1:1" x14ac:dyDescent="0.25">
      <c r="A437" s="23" t="s">
        <v>695</v>
      </c>
    </row>
    <row r="438" spans="1:1" x14ac:dyDescent="0.25">
      <c r="A438" s="23" t="s">
        <v>687</v>
      </c>
    </row>
    <row r="439" spans="1:1" x14ac:dyDescent="0.25">
      <c r="A439" s="23" t="s">
        <v>687</v>
      </c>
    </row>
    <row r="440" spans="1:1" x14ac:dyDescent="0.25">
      <c r="A440" s="23" t="s">
        <v>690</v>
      </c>
    </row>
    <row r="441" spans="1:1" x14ac:dyDescent="0.25">
      <c r="A441" s="23" t="s">
        <v>686</v>
      </c>
    </row>
    <row r="442" spans="1:1" x14ac:dyDescent="0.25">
      <c r="A442" s="23" t="s">
        <v>692</v>
      </c>
    </row>
    <row r="443" spans="1:1" x14ac:dyDescent="0.25">
      <c r="A443" s="23" t="s">
        <v>692</v>
      </c>
    </row>
    <row r="444" spans="1:1" x14ac:dyDescent="0.25">
      <c r="A444" s="23" t="s">
        <v>670</v>
      </c>
    </row>
    <row r="445" spans="1:1" x14ac:dyDescent="0.25">
      <c r="A445" s="23" t="s">
        <v>686</v>
      </c>
    </row>
    <row r="446" spans="1:1" x14ac:dyDescent="0.25">
      <c r="A446" s="23" t="s">
        <v>687</v>
      </c>
    </row>
    <row r="447" spans="1:1" x14ac:dyDescent="0.25">
      <c r="A447" s="23" t="s">
        <v>687</v>
      </c>
    </row>
    <row r="448" spans="1:1" x14ac:dyDescent="0.25">
      <c r="A448" s="23" t="s">
        <v>688</v>
      </c>
    </row>
    <row r="449" spans="1:1" x14ac:dyDescent="0.25">
      <c r="A449" s="23" t="s">
        <v>688</v>
      </c>
    </row>
    <row r="450" spans="1:1" x14ac:dyDescent="0.25">
      <c r="A450" s="23" t="s">
        <v>687</v>
      </c>
    </row>
    <row r="451" spans="1:1" x14ac:dyDescent="0.25">
      <c r="A451" s="23" t="s">
        <v>687</v>
      </c>
    </row>
    <row r="452" spans="1:1" x14ac:dyDescent="0.25">
      <c r="A452" s="23" t="s">
        <v>688</v>
      </c>
    </row>
    <row r="453" spans="1:1" x14ac:dyDescent="0.25">
      <c r="A453" s="23" t="s">
        <v>693</v>
      </c>
    </row>
    <row r="454" spans="1:1" x14ac:dyDescent="0.25">
      <c r="A454" s="23" t="s">
        <v>695</v>
      </c>
    </row>
    <row r="455" spans="1:1" x14ac:dyDescent="0.25">
      <c r="A455" s="23" t="s">
        <v>671</v>
      </c>
    </row>
    <row r="456" spans="1:1" x14ac:dyDescent="0.25">
      <c r="A456" s="23" t="s">
        <v>686</v>
      </c>
    </row>
    <row r="457" spans="1:1" x14ac:dyDescent="0.25">
      <c r="A457" s="23" t="s">
        <v>694</v>
      </c>
    </row>
    <row r="458" spans="1:1" x14ac:dyDescent="0.25">
      <c r="A458" s="23" t="s">
        <v>686</v>
      </c>
    </row>
    <row r="459" spans="1:1" x14ac:dyDescent="0.25">
      <c r="A459" s="23" t="s">
        <v>695</v>
      </c>
    </row>
    <row r="460" spans="1:1" x14ac:dyDescent="0.25">
      <c r="A460" s="23" t="s">
        <v>691</v>
      </c>
    </row>
    <row r="461" spans="1:1" x14ac:dyDescent="0.25">
      <c r="A461" s="23" t="s">
        <v>688</v>
      </c>
    </row>
    <row r="462" spans="1:1" x14ac:dyDescent="0.25">
      <c r="A462" s="23" t="s">
        <v>691</v>
      </c>
    </row>
    <row r="463" spans="1:1" x14ac:dyDescent="0.25">
      <c r="A463" s="23" t="s">
        <v>695</v>
      </c>
    </row>
    <row r="464" spans="1:1" x14ac:dyDescent="0.25">
      <c r="A464" s="23" t="s">
        <v>688</v>
      </c>
    </row>
    <row r="465" spans="1:1" x14ac:dyDescent="0.25">
      <c r="A465" s="23" t="s">
        <v>691</v>
      </c>
    </row>
    <row r="466" spans="1:1" x14ac:dyDescent="0.25">
      <c r="A466" s="23" t="s">
        <v>672</v>
      </c>
    </row>
    <row r="467" spans="1:1" x14ac:dyDescent="0.25">
      <c r="A467" s="23" t="s">
        <v>686</v>
      </c>
    </row>
    <row r="468" spans="1:1" x14ac:dyDescent="0.25">
      <c r="A468" s="23" t="s">
        <v>689</v>
      </c>
    </row>
    <row r="469" spans="1:1" x14ac:dyDescent="0.25">
      <c r="A469" s="23" t="s">
        <v>686</v>
      </c>
    </row>
    <row r="470" spans="1:1" x14ac:dyDescent="0.25">
      <c r="A470" s="23" t="s">
        <v>687</v>
      </c>
    </row>
    <row r="471" spans="1:1" x14ac:dyDescent="0.25">
      <c r="A471" s="23" t="s">
        <v>695</v>
      </c>
    </row>
    <row r="472" spans="1:1" x14ac:dyDescent="0.25">
      <c r="A472" s="23" t="s">
        <v>687</v>
      </c>
    </row>
    <row r="473" spans="1:1" x14ac:dyDescent="0.25">
      <c r="A473" s="23" t="s">
        <v>686</v>
      </c>
    </row>
    <row r="474" spans="1:1" x14ac:dyDescent="0.25">
      <c r="A474" s="23" t="s">
        <v>687</v>
      </c>
    </row>
    <row r="475" spans="1:1" x14ac:dyDescent="0.25">
      <c r="A475" s="23" t="s">
        <v>693</v>
      </c>
    </row>
    <row r="476" spans="1:1" x14ac:dyDescent="0.25">
      <c r="A476" s="23" t="s">
        <v>689</v>
      </c>
    </row>
    <row r="477" spans="1:1" x14ac:dyDescent="0.25">
      <c r="A477" s="23" t="s">
        <v>681</v>
      </c>
    </row>
    <row r="478" spans="1:1" x14ac:dyDescent="0.25">
      <c r="A478" s="23" t="s">
        <v>660</v>
      </c>
    </row>
    <row r="479" spans="1:1" x14ac:dyDescent="0.25">
      <c r="A479" s="23" t="s">
        <v>693</v>
      </c>
    </row>
    <row r="480" spans="1:1" x14ac:dyDescent="0.25">
      <c r="A480" s="23" t="s">
        <v>689</v>
      </c>
    </row>
    <row r="481" spans="1:1" x14ac:dyDescent="0.25">
      <c r="A481" s="23" t="s">
        <v>691</v>
      </c>
    </row>
    <row r="482" spans="1:1" x14ac:dyDescent="0.25">
      <c r="A482" s="23" t="s">
        <v>693</v>
      </c>
    </row>
    <row r="483" spans="1:1" x14ac:dyDescent="0.25">
      <c r="A483" s="23" t="s">
        <v>689</v>
      </c>
    </row>
    <row r="484" spans="1:1" x14ac:dyDescent="0.25">
      <c r="A484" s="23" t="s">
        <v>691</v>
      </c>
    </row>
    <row r="485" spans="1:1" x14ac:dyDescent="0.25">
      <c r="A485" s="23" t="s">
        <v>688</v>
      </c>
    </row>
    <row r="486" spans="1:1" x14ac:dyDescent="0.25">
      <c r="A486" s="23" t="s">
        <v>690</v>
      </c>
    </row>
    <row r="487" spans="1:1" x14ac:dyDescent="0.25">
      <c r="A487" s="23" t="s">
        <v>693</v>
      </c>
    </row>
    <row r="488" spans="1:1" x14ac:dyDescent="0.25">
      <c r="A488" s="23" t="s">
        <v>691</v>
      </c>
    </row>
    <row r="489" spans="1:1" x14ac:dyDescent="0.25">
      <c r="A489" s="23" t="s">
        <v>666</v>
      </c>
    </row>
    <row r="490" spans="1:1" x14ac:dyDescent="0.25">
      <c r="A490" s="23" t="s">
        <v>693</v>
      </c>
    </row>
    <row r="491" spans="1:1" x14ac:dyDescent="0.25">
      <c r="A491" s="23" t="s">
        <v>693</v>
      </c>
    </row>
    <row r="492" spans="1:1" x14ac:dyDescent="0.25">
      <c r="A492" s="23" t="s">
        <v>691</v>
      </c>
    </row>
    <row r="493" spans="1:1" x14ac:dyDescent="0.25">
      <c r="A493" s="23" t="s">
        <v>688</v>
      </c>
    </row>
    <row r="494" spans="1:1" x14ac:dyDescent="0.25">
      <c r="A494" s="23" t="s">
        <v>691</v>
      </c>
    </row>
    <row r="495" spans="1:1" x14ac:dyDescent="0.25">
      <c r="A495" s="23" t="s">
        <v>688</v>
      </c>
    </row>
    <row r="496" spans="1:1" x14ac:dyDescent="0.25">
      <c r="A496" s="23" t="s">
        <v>692</v>
      </c>
    </row>
    <row r="497" spans="1:1" x14ac:dyDescent="0.25">
      <c r="A497" s="23" t="s">
        <v>694</v>
      </c>
    </row>
    <row r="498" spans="1:1" x14ac:dyDescent="0.25">
      <c r="A498" s="23" t="s">
        <v>688</v>
      </c>
    </row>
    <row r="499" spans="1:1" x14ac:dyDescent="0.25">
      <c r="A499" s="23" t="s">
        <v>690</v>
      </c>
    </row>
    <row r="500" spans="1:1" x14ac:dyDescent="0.25">
      <c r="A500" s="23" t="s">
        <v>668</v>
      </c>
    </row>
    <row r="501" spans="1:1" x14ac:dyDescent="0.25">
      <c r="A501" s="23" t="s">
        <v>694</v>
      </c>
    </row>
    <row r="502" spans="1:1" x14ac:dyDescent="0.25">
      <c r="A502" s="23" t="s">
        <v>687</v>
      </c>
    </row>
    <row r="503" spans="1:1" x14ac:dyDescent="0.25">
      <c r="A503" s="23" t="s">
        <v>687</v>
      </c>
    </row>
    <row r="504" spans="1:1" x14ac:dyDescent="0.25">
      <c r="A504" s="23" t="s">
        <v>687</v>
      </c>
    </row>
    <row r="505" spans="1:1" x14ac:dyDescent="0.25">
      <c r="A505" s="23" t="s">
        <v>693</v>
      </c>
    </row>
    <row r="506" spans="1:1" x14ac:dyDescent="0.25">
      <c r="A506" s="23" t="s">
        <v>687</v>
      </c>
    </row>
    <row r="507" spans="1:1" x14ac:dyDescent="0.25">
      <c r="A507" s="23" t="s">
        <v>686</v>
      </c>
    </row>
    <row r="508" spans="1:1" x14ac:dyDescent="0.25">
      <c r="A508" s="23" t="s">
        <v>687</v>
      </c>
    </row>
    <row r="509" spans="1:1" x14ac:dyDescent="0.25">
      <c r="A509" s="23" t="s">
        <v>688</v>
      </c>
    </row>
    <row r="510" spans="1:1" x14ac:dyDescent="0.25">
      <c r="A510" s="23" t="s">
        <v>687</v>
      </c>
    </row>
    <row r="511" spans="1:1" x14ac:dyDescent="0.25">
      <c r="A511" s="23" t="s">
        <v>670</v>
      </c>
    </row>
    <row r="512" spans="1:1" x14ac:dyDescent="0.25">
      <c r="A512" s="23" t="s">
        <v>694</v>
      </c>
    </row>
    <row r="513" spans="1:1" x14ac:dyDescent="0.25">
      <c r="A513" s="23" t="s">
        <v>687</v>
      </c>
    </row>
    <row r="514" spans="1:1" x14ac:dyDescent="0.25">
      <c r="A514" s="23" t="s">
        <v>686</v>
      </c>
    </row>
    <row r="515" spans="1:1" x14ac:dyDescent="0.25">
      <c r="A515" s="23" t="s">
        <v>687</v>
      </c>
    </row>
    <row r="516" spans="1:1" x14ac:dyDescent="0.25">
      <c r="A516" s="23" t="s">
        <v>691</v>
      </c>
    </row>
    <row r="517" spans="1:1" x14ac:dyDescent="0.25">
      <c r="A517" s="23" t="s">
        <v>691</v>
      </c>
    </row>
    <row r="518" spans="1:1" x14ac:dyDescent="0.25">
      <c r="A518" s="23" t="s">
        <v>694</v>
      </c>
    </row>
    <row r="519" spans="1:1" x14ac:dyDescent="0.25">
      <c r="A519" s="23" t="s">
        <v>693</v>
      </c>
    </row>
    <row r="520" spans="1:1" x14ac:dyDescent="0.25">
      <c r="A520" s="23" t="s">
        <v>688</v>
      </c>
    </row>
    <row r="521" spans="1:1" x14ac:dyDescent="0.25">
      <c r="A521" s="23" t="s">
        <v>688</v>
      </c>
    </row>
    <row r="522" spans="1:1" x14ac:dyDescent="0.25">
      <c r="A522" s="23" t="s">
        <v>671</v>
      </c>
    </row>
    <row r="523" spans="1:1" x14ac:dyDescent="0.25">
      <c r="A523" s="23" t="s">
        <v>686</v>
      </c>
    </row>
    <row r="524" spans="1:1" x14ac:dyDescent="0.25">
      <c r="A524" s="23" t="s">
        <v>687</v>
      </c>
    </row>
    <row r="525" spans="1:1" x14ac:dyDescent="0.25">
      <c r="A525" s="23" t="s">
        <v>687</v>
      </c>
    </row>
    <row r="526" spans="1:1" x14ac:dyDescent="0.25">
      <c r="A526" s="23" t="s">
        <v>694</v>
      </c>
    </row>
    <row r="527" spans="1:1" x14ac:dyDescent="0.25">
      <c r="A527" s="23" t="s">
        <v>694</v>
      </c>
    </row>
    <row r="528" spans="1:1" x14ac:dyDescent="0.25">
      <c r="A528" s="23" t="s">
        <v>695</v>
      </c>
    </row>
    <row r="529" spans="1:1" x14ac:dyDescent="0.25">
      <c r="A529" s="23" t="s">
        <v>686</v>
      </c>
    </row>
    <row r="530" spans="1:1" x14ac:dyDescent="0.25">
      <c r="A530" s="23" t="s">
        <v>695</v>
      </c>
    </row>
    <row r="531" spans="1:1" x14ac:dyDescent="0.25">
      <c r="A531" s="23" t="s">
        <v>695</v>
      </c>
    </row>
    <row r="532" spans="1:1" x14ac:dyDescent="0.25">
      <c r="A532" s="23" t="s">
        <v>694</v>
      </c>
    </row>
    <row r="533" spans="1:1" x14ac:dyDescent="0.25">
      <c r="A533" s="23" t="s">
        <v>672</v>
      </c>
    </row>
    <row r="534" spans="1:1" x14ac:dyDescent="0.25">
      <c r="A534" s="23" t="s">
        <v>686</v>
      </c>
    </row>
    <row r="535" spans="1:1" x14ac:dyDescent="0.25">
      <c r="A535" s="23" t="s">
        <v>686</v>
      </c>
    </row>
    <row r="536" spans="1:1" x14ac:dyDescent="0.25">
      <c r="A536" s="23" t="s">
        <v>686</v>
      </c>
    </row>
    <row r="537" spans="1:1" x14ac:dyDescent="0.25">
      <c r="A537" s="23" t="s">
        <v>686</v>
      </c>
    </row>
    <row r="538" spans="1:1" x14ac:dyDescent="0.25">
      <c r="A538" s="23" t="s">
        <v>686</v>
      </c>
    </row>
    <row r="539" spans="1:1" x14ac:dyDescent="0.25">
      <c r="A539" s="23" t="s">
        <v>687</v>
      </c>
    </row>
    <row r="540" spans="1:1" x14ac:dyDescent="0.25">
      <c r="A540" s="23" t="s">
        <v>687</v>
      </c>
    </row>
    <row r="541" spans="1:1" x14ac:dyDescent="0.25">
      <c r="A541" s="23" t="s">
        <v>691</v>
      </c>
    </row>
    <row r="542" spans="1:1" x14ac:dyDescent="0.25">
      <c r="A542" s="23" t="s">
        <v>694</v>
      </c>
    </row>
    <row r="543" spans="1:1" x14ac:dyDescent="0.25">
      <c r="A543" s="23" t="s">
        <v>689</v>
      </c>
    </row>
    <row r="544" spans="1:1" x14ac:dyDescent="0.25">
      <c r="A544" s="23" t="s">
        <v>682</v>
      </c>
    </row>
    <row r="545" spans="1:1" x14ac:dyDescent="0.25">
      <c r="A545" s="23" t="s">
        <v>660</v>
      </c>
    </row>
    <row r="546" spans="1:1" x14ac:dyDescent="0.25">
      <c r="A546" s="23" t="s">
        <v>693</v>
      </c>
    </row>
    <row r="547" spans="1:1" x14ac:dyDescent="0.25">
      <c r="A547" s="23" t="s">
        <v>689</v>
      </c>
    </row>
    <row r="548" spans="1:1" x14ac:dyDescent="0.25">
      <c r="A548" s="23" t="s">
        <v>691</v>
      </c>
    </row>
    <row r="549" spans="1:1" x14ac:dyDescent="0.25">
      <c r="A549" s="23" t="s">
        <v>687</v>
      </c>
    </row>
    <row r="550" spans="1:1" x14ac:dyDescent="0.25">
      <c r="A550" s="23" t="s">
        <v>688</v>
      </c>
    </row>
    <row r="551" spans="1:1" x14ac:dyDescent="0.25">
      <c r="A551" s="23" t="s">
        <v>688</v>
      </c>
    </row>
    <row r="552" spans="1:1" x14ac:dyDescent="0.25">
      <c r="A552" s="23" t="s">
        <v>688</v>
      </c>
    </row>
    <row r="553" spans="1:1" x14ac:dyDescent="0.25">
      <c r="A553" s="23" t="s">
        <v>691</v>
      </c>
    </row>
    <row r="554" spans="1:1" x14ac:dyDescent="0.25">
      <c r="A554" s="23" t="s">
        <v>688</v>
      </c>
    </row>
    <row r="555" spans="1:1" x14ac:dyDescent="0.25">
      <c r="A555" s="23" t="s">
        <v>691</v>
      </c>
    </row>
    <row r="556" spans="1:1" x14ac:dyDescent="0.25">
      <c r="A556" s="23" t="s">
        <v>666</v>
      </c>
    </row>
    <row r="557" spans="1:1" x14ac:dyDescent="0.25">
      <c r="A557" s="23" t="s">
        <v>692</v>
      </c>
    </row>
    <row r="558" spans="1:1" x14ac:dyDescent="0.25">
      <c r="A558" s="23" t="s">
        <v>689</v>
      </c>
    </row>
    <row r="559" spans="1:1" x14ac:dyDescent="0.25">
      <c r="A559" s="23" t="s">
        <v>686</v>
      </c>
    </row>
    <row r="560" spans="1:1" x14ac:dyDescent="0.25">
      <c r="A560" s="23" t="s">
        <v>689</v>
      </c>
    </row>
    <row r="561" spans="1:1" x14ac:dyDescent="0.25">
      <c r="A561" s="23" t="s">
        <v>690</v>
      </c>
    </row>
    <row r="562" spans="1:1" x14ac:dyDescent="0.25">
      <c r="A562" s="23" t="s">
        <v>691</v>
      </c>
    </row>
    <row r="563" spans="1:1" x14ac:dyDescent="0.25">
      <c r="A563" s="23" t="s">
        <v>693</v>
      </c>
    </row>
    <row r="564" spans="1:1" x14ac:dyDescent="0.25">
      <c r="A564" s="23" t="s">
        <v>694</v>
      </c>
    </row>
    <row r="565" spans="1:1" x14ac:dyDescent="0.25">
      <c r="A565" s="23" t="s">
        <v>693</v>
      </c>
    </row>
    <row r="566" spans="1:1" x14ac:dyDescent="0.25">
      <c r="A566" s="23" t="s">
        <v>693</v>
      </c>
    </row>
    <row r="567" spans="1:1" x14ac:dyDescent="0.25">
      <c r="A567" s="23" t="s">
        <v>668</v>
      </c>
    </row>
    <row r="568" spans="1:1" x14ac:dyDescent="0.25">
      <c r="A568" s="23" t="s">
        <v>686</v>
      </c>
    </row>
    <row r="569" spans="1:1" x14ac:dyDescent="0.25">
      <c r="A569" s="23" t="s">
        <v>693</v>
      </c>
    </row>
    <row r="570" spans="1:1" x14ac:dyDescent="0.25">
      <c r="A570" s="23" t="s">
        <v>693</v>
      </c>
    </row>
    <row r="571" spans="1:1" x14ac:dyDescent="0.25">
      <c r="A571" s="23" t="s">
        <v>694</v>
      </c>
    </row>
    <row r="572" spans="1:1" x14ac:dyDescent="0.25">
      <c r="A572" s="23" t="s">
        <v>693</v>
      </c>
    </row>
    <row r="573" spans="1:1" x14ac:dyDescent="0.25">
      <c r="A573" s="23" t="s">
        <v>694</v>
      </c>
    </row>
    <row r="574" spans="1:1" x14ac:dyDescent="0.25">
      <c r="A574" s="23" t="s">
        <v>694</v>
      </c>
    </row>
    <row r="575" spans="1:1" x14ac:dyDescent="0.25">
      <c r="A575" s="23" t="s">
        <v>692</v>
      </c>
    </row>
    <row r="576" spans="1:1" x14ac:dyDescent="0.25">
      <c r="A576" s="23" t="s">
        <v>687</v>
      </c>
    </row>
    <row r="577" spans="1:1" x14ac:dyDescent="0.25">
      <c r="A577" s="23" t="s">
        <v>690</v>
      </c>
    </row>
    <row r="578" spans="1:1" x14ac:dyDescent="0.25">
      <c r="A578" s="23" t="s">
        <v>670</v>
      </c>
    </row>
    <row r="579" spans="1:1" x14ac:dyDescent="0.25">
      <c r="A579" s="23" t="s">
        <v>686</v>
      </c>
    </row>
    <row r="580" spans="1:1" x14ac:dyDescent="0.25">
      <c r="A580" s="23" t="s">
        <v>686</v>
      </c>
    </row>
    <row r="581" spans="1:1" x14ac:dyDescent="0.25">
      <c r="A581" s="23" t="s">
        <v>693</v>
      </c>
    </row>
    <row r="582" spans="1:1" x14ac:dyDescent="0.25">
      <c r="A582" s="23" t="s">
        <v>688</v>
      </c>
    </row>
    <row r="583" spans="1:1" x14ac:dyDescent="0.25">
      <c r="A583" s="23" t="s">
        <v>689</v>
      </c>
    </row>
    <row r="584" spans="1:1" x14ac:dyDescent="0.25">
      <c r="A584" s="23" t="s">
        <v>693</v>
      </c>
    </row>
    <row r="585" spans="1:1" x14ac:dyDescent="0.25">
      <c r="A585" s="23" t="s">
        <v>693</v>
      </c>
    </row>
    <row r="586" spans="1:1" x14ac:dyDescent="0.25">
      <c r="A586" s="23" t="s">
        <v>690</v>
      </c>
    </row>
    <row r="587" spans="1:1" x14ac:dyDescent="0.25">
      <c r="A587" s="23" t="s">
        <v>693</v>
      </c>
    </row>
    <row r="588" spans="1:1" x14ac:dyDescent="0.25">
      <c r="A588" s="23" t="s">
        <v>689</v>
      </c>
    </row>
    <row r="589" spans="1:1" x14ac:dyDescent="0.25">
      <c r="A589" s="23" t="s">
        <v>671</v>
      </c>
    </row>
    <row r="590" spans="1:1" x14ac:dyDescent="0.25">
      <c r="A590" s="23" t="s">
        <v>687</v>
      </c>
    </row>
    <row r="591" spans="1:1" x14ac:dyDescent="0.25">
      <c r="A591" s="23" t="s">
        <v>687</v>
      </c>
    </row>
    <row r="592" spans="1:1" x14ac:dyDescent="0.25">
      <c r="A592" s="23" t="s">
        <v>687</v>
      </c>
    </row>
    <row r="593" spans="1:1" x14ac:dyDescent="0.25">
      <c r="A593" s="23" t="s">
        <v>693</v>
      </c>
    </row>
    <row r="594" spans="1:1" x14ac:dyDescent="0.25">
      <c r="A594" s="23" t="s">
        <v>687</v>
      </c>
    </row>
    <row r="595" spans="1:1" x14ac:dyDescent="0.25">
      <c r="A595" s="23" t="s">
        <v>687</v>
      </c>
    </row>
    <row r="596" spans="1:1" x14ac:dyDescent="0.25">
      <c r="A596" s="23" t="s">
        <v>687</v>
      </c>
    </row>
    <row r="597" spans="1:1" x14ac:dyDescent="0.25">
      <c r="A597" s="23" t="s">
        <v>692</v>
      </c>
    </row>
    <row r="598" spans="1:1" x14ac:dyDescent="0.25">
      <c r="A598" s="23" t="s">
        <v>687</v>
      </c>
    </row>
    <row r="599" spans="1:1" x14ac:dyDescent="0.25">
      <c r="A599" s="23" t="s">
        <v>686</v>
      </c>
    </row>
    <row r="600" spans="1:1" x14ac:dyDescent="0.25">
      <c r="A600" s="23" t="s">
        <v>672</v>
      </c>
    </row>
    <row r="601" spans="1:1" x14ac:dyDescent="0.25">
      <c r="A601" s="23" t="s">
        <v>686</v>
      </c>
    </row>
    <row r="602" spans="1:1" x14ac:dyDescent="0.25">
      <c r="A602" s="23" t="s">
        <v>686</v>
      </c>
    </row>
    <row r="603" spans="1:1" x14ac:dyDescent="0.25">
      <c r="A603" s="23" t="s">
        <v>695</v>
      </c>
    </row>
    <row r="604" spans="1:1" x14ac:dyDescent="0.25">
      <c r="A604" s="23" t="s">
        <v>692</v>
      </c>
    </row>
    <row r="605" spans="1:1" x14ac:dyDescent="0.25">
      <c r="A605" s="23" t="s">
        <v>690</v>
      </c>
    </row>
    <row r="606" spans="1:1" x14ac:dyDescent="0.25">
      <c r="A606" s="23" t="s">
        <v>690</v>
      </c>
    </row>
    <row r="607" spans="1:1" x14ac:dyDescent="0.25">
      <c r="A607" s="23" t="s">
        <v>690</v>
      </c>
    </row>
    <row r="608" spans="1:1" x14ac:dyDescent="0.25">
      <c r="A608" s="23" t="s">
        <v>692</v>
      </c>
    </row>
    <row r="609" spans="1:1" x14ac:dyDescent="0.25">
      <c r="A609" s="23" t="s">
        <v>692</v>
      </c>
    </row>
    <row r="610" spans="1:1" x14ac:dyDescent="0.25">
      <c r="A610" s="23" t="s">
        <v>692</v>
      </c>
    </row>
    <row r="611" spans="1:1" x14ac:dyDescent="0.25">
      <c r="A611" s="23" t="s">
        <v>683</v>
      </c>
    </row>
    <row r="612" spans="1:1" x14ac:dyDescent="0.25">
      <c r="A612" s="23" t="s">
        <v>660</v>
      </c>
    </row>
    <row r="613" spans="1:1" x14ac:dyDescent="0.25">
      <c r="A613" s="23" t="s">
        <v>688</v>
      </c>
    </row>
    <row r="614" spans="1:1" x14ac:dyDescent="0.25">
      <c r="A614" s="23" t="s">
        <v>691</v>
      </c>
    </row>
    <row r="615" spans="1:1" x14ac:dyDescent="0.25">
      <c r="A615" s="23" t="s">
        <v>693</v>
      </c>
    </row>
    <row r="616" spans="1:1" x14ac:dyDescent="0.25">
      <c r="A616" s="23" t="s">
        <v>689</v>
      </c>
    </row>
    <row r="617" spans="1:1" x14ac:dyDescent="0.25">
      <c r="A617" s="23" t="s">
        <v>688</v>
      </c>
    </row>
    <row r="618" spans="1:1" x14ac:dyDescent="0.25">
      <c r="A618" s="23" t="s">
        <v>693</v>
      </c>
    </row>
    <row r="619" spans="1:1" x14ac:dyDescent="0.25">
      <c r="A619" s="23" t="s">
        <v>688</v>
      </c>
    </row>
    <row r="620" spans="1:1" x14ac:dyDescent="0.25">
      <c r="A620" s="23" t="s">
        <v>694</v>
      </c>
    </row>
    <row r="621" spans="1:1" x14ac:dyDescent="0.25">
      <c r="A621" s="23" t="s">
        <v>691</v>
      </c>
    </row>
    <row r="622" spans="1:1" x14ac:dyDescent="0.25">
      <c r="A622" s="23" t="s">
        <v>691</v>
      </c>
    </row>
    <row r="623" spans="1:1" x14ac:dyDescent="0.25">
      <c r="A623" s="23" t="s">
        <v>666</v>
      </c>
    </row>
    <row r="624" spans="1:1" x14ac:dyDescent="0.25">
      <c r="A624" s="23" t="s">
        <v>693</v>
      </c>
    </row>
    <row r="625" spans="1:1" x14ac:dyDescent="0.25">
      <c r="A625" s="23" t="s">
        <v>694</v>
      </c>
    </row>
    <row r="626" spans="1:1" x14ac:dyDescent="0.25">
      <c r="A626" s="23" t="s">
        <v>694</v>
      </c>
    </row>
    <row r="627" spans="1:1" x14ac:dyDescent="0.25">
      <c r="A627" s="23" t="s">
        <v>694</v>
      </c>
    </row>
    <row r="628" spans="1:1" x14ac:dyDescent="0.25">
      <c r="A628" s="23" t="s">
        <v>694</v>
      </c>
    </row>
    <row r="629" spans="1:1" x14ac:dyDescent="0.25">
      <c r="A629" s="23" t="s">
        <v>689</v>
      </c>
    </row>
    <row r="630" spans="1:1" x14ac:dyDescent="0.25">
      <c r="A630" s="23" t="s">
        <v>694</v>
      </c>
    </row>
    <row r="631" spans="1:1" x14ac:dyDescent="0.25">
      <c r="A631" s="23" t="s">
        <v>692</v>
      </c>
    </row>
    <row r="632" spans="1:1" x14ac:dyDescent="0.25">
      <c r="A632" s="23" t="s">
        <v>694</v>
      </c>
    </row>
    <row r="633" spans="1:1" x14ac:dyDescent="0.25">
      <c r="A633" s="23" t="s">
        <v>693</v>
      </c>
    </row>
    <row r="634" spans="1:1" x14ac:dyDescent="0.25">
      <c r="A634" s="23" t="s">
        <v>668</v>
      </c>
    </row>
    <row r="635" spans="1:1" x14ac:dyDescent="0.25">
      <c r="A635" s="23" t="s">
        <v>693</v>
      </c>
    </row>
    <row r="636" spans="1:1" x14ac:dyDescent="0.25">
      <c r="A636" s="23" t="s">
        <v>689</v>
      </c>
    </row>
    <row r="637" spans="1:1" x14ac:dyDescent="0.25">
      <c r="A637" s="23" t="s">
        <v>693</v>
      </c>
    </row>
    <row r="638" spans="1:1" x14ac:dyDescent="0.25">
      <c r="A638" s="23" t="s">
        <v>694</v>
      </c>
    </row>
    <row r="639" spans="1:1" x14ac:dyDescent="0.25">
      <c r="A639" s="23" t="s">
        <v>694</v>
      </c>
    </row>
    <row r="640" spans="1:1" x14ac:dyDescent="0.25">
      <c r="A640" s="23" t="s">
        <v>693</v>
      </c>
    </row>
    <row r="641" spans="1:1" x14ac:dyDescent="0.25">
      <c r="A641" s="23" t="s">
        <v>689</v>
      </c>
    </row>
    <row r="642" spans="1:1" x14ac:dyDescent="0.25">
      <c r="A642" s="23" t="s">
        <v>689</v>
      </c>
    </row>
    <row r="643" spans="1:1" x14ac:dyDescent="0.25">
      <c r="A643" s="23" t="s">
        <v>693</v>
      </c>
    </row>
    <row r="644" spans="1:1" x14ac:dyDescent="0.25">
      <c r="A644" s="23" t="s">
        <v>694</v>
      </c>
    </row>
    <row r="645" spans="1:1" x14ac:dyDescent="0.25">
      <c r="A645" s="23" t="s">
        <v>670</v>
      </c>
    </row>
    <row r="646" spans="1:1" x14ac:dyDescent="0.25">
      <c r="A646" s="23" t="s">
        <v>694</v>
      </c>
    </row>
    <row r="647" spans="1:1" x14ac:dyDescent="0.25">
      <c r="A647" s="23" t="s">
        <v>694</v>
      </c>
    </row>
    <row r="648" spans="1:1" x14ac:dyDescent="0.25">
      <c r="A648" s="23" t="s">
        <v>694</v>
      </c>
    </row>
    <row r="649" spans="1:1" x14ac:dyDescent="0.25">
      <c r="A649" s="23" t="s">
        <v>689</v>
      </c>
    </row>
    <row r="650" spans="1:1" x14ac:dyDescent="0.25">
      <c r="A650" s="23" t="s">
        <v>694</v>
      </c>
    </row>
    <row r="651" spans="1:1" x14ac:dyDescent="0.25">
      <c r="A651" s="23" t="s">
        <v>692</v>
      </c>
    </row>
    <row r="652" spans="1:1" x14ac:dyDescent="0.25">
      <c r="A652" s="23" t="s">
        <v>689</v>
      </c>
    </row>
    <row r="653" spans="1:1" x14ac:dyDescent="0.25">
      <c r="A653" s="23" t="s">
        <v>691</v>
      </c>
    </row>
    <row r="654" spans="1:1" x14ac:dyDescent="0.25">
      <c r="A654" s="23" t="s">
        <v>689</v>
      </c>
    </row>
    <row r="655" spans="1:1" x14ac:dyDescent="0.25">
      <c r="A655" s="23" t="s">
        <v>694</v>
      </c>
    </row>
    <row r="656" spans="1:1" x14ac:dyDescent="0.25">
      <c r="A656" s="23" t="s">
        <v>671</v>
      </c>
    </row>
    <row r="657" spans="1:1" x14ac:dyDescent="0.25">
      <c r="A657" s="23" t="s">
        <v>686</v>
      </c>
    </row>
    <row r="658" spans="1:1" x14ac:dyDescent="0.25">
      <c r="A658" s="23" t="s">
        <v>691</v>
      </c>
    </row>
    <row r="659" spans="1:1" x14ac:dyDescent="0.25">
      <c r="A659" s="23" t="s">
        <v>687</v>
      </c>
    </row>
    <row r="660" spans="1:1" x14ac:dyDescent="0.25">
      <c r="A660" s="23" t="s">
        <v>695</v>
      </c>
    </row>
    <row r="661" spans="1:1" x14ac:dyDescent="0.25">
      <c r="A661" s="23" t="s">
        <v>693</v>
      </c>
    </row>
    <row r="662" spans="1:1" x14ac:dyDescent="0.25">
      <c r="A662" s="23" t="s">
        <v>692</v>
      </c>
    </row>
    <row r="663" spans="1:1" x14ac:dyDescent="0.25">
      <c r="A663" s="23" t="s">
        <v>688</v>
      </c>
    </row>
    <row r="664" spans="1:1" x14ac:dyDescent="0.25">
      <c r="A664" s="23" t="s">
        <v>687</v>
      </c>
    </row>
    <row r="665" spans="1:1" x14ac:dyDescent="0.25">
      <c r="A665" s="23" t="s">
        <v>692</v>
      </c>
    </row>
    <row r="666" spans="1:1" x14ac:dyDescent="0.25">
      <c r="A666" s="23" t="s">
        <v>688</v>
      </c>
    </row>
    <row r="667" spans="1:1" x14ac:dyDescent="0.25">
      <c r="A667" s="23" t="s">
        <v>672</v>
      </c>
    </row>
    <row r="668" spans="1:1" x14ac:dyDescent="0.25">
      <c r="A668" s="23" t="s">
        <v>686</v>
      </c>
    </row>
    <row r="669" spans="1:1" x14ac:dyDescent="0.25">
      <c r="A669" s="23" t="s">
        <v>691</v>
      </c>
    </row>
    <row r="670" spans="1:1" x14ac:dyDescent="0.25">
      <c r="A670" s="23" t="s">
        <v>688</v>
      </c>
    </row>
    <row r="671" spans="1:1" x14ac:dyDescent="0.25">
      <c r="A671" s="23" t="s">
        <v>688</v>
      </c>
    </row>
    <row r="672" spans="1:1" x14ac:dyDescent="0.25">
      <c r="A672" s="23" t="s">
        <v>688</v>
      </c>
    </row>
    <row r="673" spans="1:1" x14ac:dyDescent="0.25">
      <c r="A673" s="23" t="s">
        <v>690</v>
      </c>
    </row>
    <row r="674" spans="1:1" x14ac:dyDescent="0.25">
      <c r="A674" s="23" t="s">
        <v>694</v>
      </c>
    </row>
    <row r="675" spans="1:1" x14ac:dyDescent="0.25">
      <c r="A675" s="23" t="s">
        <v>691</v>
      </c>
    </row>
    <row r="676" spans="1:1" x14ac:dyDescent="0.25">
      <c r="A676" s="23" t="s">
        <v>690</v>
      </c>
    </row>
    <row r="677" spans="1:1" x14ac:dyDescent="0.25">
      <c r="A677" s="23" t="s">
        <v>687</v>
      </c>
    </row>
    <row r="678" spans="1:1" x14ac:dyDescent="0.25">
      <c r="A678" s="23" t="s">
        <v>684</v>
      </c>
    </row>
    <row r="679" spans="1:1" x14ac:dyDescent="0.25">
      <c r="A679" s="23" t="s">
        <v>660</v>
      </c>
    </row>
    <row r="680" spans="1:1" x14ac:dyDescent="0.25">
      <c r="A680" s="23" t="s">
        <v>694</v>
      </c>
    </row>
    <row r="681" spans="1:1" x14ac:dyDescent="0.25">
      <c r="A681" s="23" t="s">
        <v>695</v>
      </c>
    </row>
    <row r="682" spans="1:1" x14ac:dyDescent="0.25">
      <c r="A682" s="23" t="s">
        <v>694</v>
      </c>
    </row>
    <row r="683" spans="1:1" x14ac:dyDescent="0.25">
      <c r="A683" s="23" t="s">
        <v>694</v>
      </c>
    </row>
    <row r="684" spans="1:1" x14ac:dyDescent="0.25">
      <c r="A684" s="23" t="s">
        <v>687</v>
      </c>
    </row>
    <row r="685" spans="1:1" x14ac:dyDescent="0.25">
      <c r="A685" s="23" t="s">
        <v>687</v>
      </c>
    </row>
    <row r="686" spans="1:1" x14ac:dyDescent="0.25">
      <c r="A686" s="23" t="s">
        <v>694</v>
      </c>
    </row>
    <row r="687" spans="1:1" x14ac:dyDescent="0.25">
      <c r="A687" s="23" t="s">
        <v>687</v>
      </c>
    </row>
    <row r="688" spans="1:1" x14ac:dyDescent="0.25">
      <c r="A688" s="23" t="s">
        <v>694</v>
      </c>
    </row>
    <row r="689" spans="1:1" x14ac:dyDescent="0.25">
      <c r="A689" s="23" t="s">
        <v>687</v>
      </c>
    </row>
    <row r="690" spans="1:1" x14ac:dyDescent="0.25">
      <c r="A690" s="23" t="s">
        <v>666</v>
      </c>
    </row>
    <row r="691" spans="1:1" x14ac:dyDescent="0.25">
      <c r="A691" s="23" t="s">
        <v>692</v>
      </c>
    </row>
    <row r="692" spans="1:1" x14ac:dyDescent="0.25">
      <c r="A692" s="23" t="s">
        <v>689</v>
      </c>
    </row>
    <row r="693" spans="1:1" x14ac:dyDescent="0.25">
      <c r="A693" s="23" t="s">
        <v>694</v>
      </c>
    </row>
    <row r="694" spans="1:1" x14ac:dyDescent="0.25">
      <c r="A694" s="23" t="s">
        <v>694</v>
      </c>
    </row>
    <row r="695" spans="1:1" x14ac:dyDescent="0.25">
      <c r="A695" s="23" t="s">
        <v>689</v>
      </c>
    </row>
    <row r="696" spans="1:1" x14ac:dyDescent="0.25">
      <c r="A696" s="23" t="s">
        <v>690</v>
      </c>
    </row>
    <row r="697" spans="1:1" x14ac:dyDescent="0.25">
      <c r="A697" s="23" t="s">
        <v>693</v>
      </c>
    </row>
    <row r="698" spans="1:1" x14ac:dyDescent="0.25">
      <c r="A698" s="23" t="s">
        <v>688</v>
      </c>
    </row>
    <row r="699" spans="1:1" x14ac:dyDescent="0.25">
      <c r="A699" s="23" t="s">
        <v>691</v>
      </c>
    </row>
    <row r="700" spans="1:1" x14ac:dyDescent="0.25">
      <c r="A700" s="23" t="s">
        <v>689</v>
      </c>
    </row>
    <row r="701" spans="1:1" x14ac:dyDescent="0.25">
      <c r="A701" s="23" t="s">
        <v>668</v>
      </c>
    </row>
    <row r="702" spans="1:1" x14ac:dyDescent="0.25">
      <c r="A702" s="23" t="s">
        <v>693</v>
      </c>
    </row>
    <row r="703" spans="1:1" x14ac:dyDescent="0.25">
      <c r="A703" s="23" t="s">
        <v>693</v>
      </c>
    </row>
    <row r="704" spans="1:1" x14ac:dyDescent="0.25">
      <c r="A704" s="23" t="s">
        <v>694</v>
      </c>
    </row>
    <row r="705" spans="1:1" x14ac:dyDescent="0.25">
      <c r="A705" s="23" t="s">
        <v>694</v>
      </c>
    </row>
    <row r="706" spans="1:1" x14ac:dyDescent="0.25">
      <c r="A706" s="23" t="s">
        <v>694</v>
      </c>
    </row>
    <row r="707" spans="1:1" x14ac:dyDescent="0.25">
      <c r="A707" s="23" t="s">
        <v>694</v>
      </c>
    </row>
    <row r="708" spans="1:1" x14ac:dyDescent="0.25">
      <c r="A708" s="23" t="s">
        <v>688</v>
      </c>
    </row>
    <row r="709" spans="1:1" x14ac:dyDescent="0.25">
      <c r="A709" s="23" t="s">
        <v>688</v>
      </c>
    </row>
    <row r="710" spans="1:1" x14ac:dyDescent="0.25">
      <c r="A710" s="23" t="s">
        <v>694</v>
      </c>
    </row>
    <row r="711" spans="1:1" x14ac:dyDescent="0.25">
      <c r="A711" s="23" t="s">
        <v>689</v>
      </c>
    </row>
    <row r="712" spans="1:1" x14ac:dyDescent="0.25">
      <c r="A712" s="23" t="s">
        <v>670</v>
      </c>
    </row>
    <row r="713" spans="1:1" x14ac:dyDescent="0.25">
      <c r="A713" s="23" t="s">
        <v>694</v>
      </c>
    </row>
    <row r="714" spans="1:1" x14ac:dyDescent="0.25">
      <c r="A714" s="23" t="s">
        <v>694</v>
      </c>
    </row>
    <row r="715" spans="1:1" x14ac:dyDescent="0.25">
      <c r="A715" s="23" t="s">
        <v>695</v>
      </c>
    </row>
    <row r="716" spans="1:1" x14ac:dyDescent="0.25">
      <c r="A716" s="23" t="s">
        <v>688</v>
      </c>
    </row>
    <row r="717" spans="1:1" x14ac:dyDescent="0.25">
      <c r="A717" s="23" t="s">
        <v>695</v>
      </c>
    </row>
    <row r="718" spans="1:1" x14ac:dyDescent="0.25">
      <c r="A718" s="23" t="s">
        <v>692</v>
      </c>
    </row>
    <row r="719" spans="1:1" x14ac:dyDescent="0.25">
      <c r="A719" s="23" t="s">
        <v>695</v>
      </c>
    </row>
    <row r="720" spans="1:1" x14ac:dyDescent="0.25">
      <c r="A720" s="23" t="s">
        <v>686</v>
      </c>
    </row>
    <row r="721" spans="1:1" x14ac:dyDescent="0.25">
      <c r="A721" s="23" t="s">
        <v>692</v>
      </c>
    </row>
    <row r="722" spans="1:1" x14ac:dyDescent="0.25">
      <c r="A722" s="23" t="s">
        <v>691</v>
      </c>
    </row>
    <row r="723" spans="1:1" x14ac:dyDescent="0.25">
      <c r="A723" s="23" t="s">
        <v>671</v>
      </c>
    </row>
    <row r="724" spans="1:1" x14ac:dyDescent="0.25">
      <c r="A724" s="23" t="s">
        <v>686</v>
      </c>
    </row>
    <row r="725" spans="1:1" x14ac:dyDescent="0.25">
      <c r="A725" s="23" t="s">
        <v>695</v>
      </c>
    </row>
    <row r="726" spans="1:1" x14ac:dyDescent="0.25">
      <c r="A726" s="23" t="s">
        <v>692</v>
      </c>
    </row>
    <row r="727" spans="1:1" x14ac:dyDescent="0.25">
      <c r="A727" s="23" t="s">
        <v>690</v>
      </c>
    </row>
    <row r="728" spans="1:1" x14ac:dyDescent="0.25">
      <c r="A728" s="23" t="s">
        <v>687</v>
      </c>
    </row>
    <row r="729" spans="1:1" x14ac:dyDescent="0.25">
      <c r="A729" s="23" t="s">
        <v>687</v>
      </c>
    </row>
    <row r="730" spans="1:1" x14ac:dyDescent="0.25">
      <c r="A730" s="23" t="s">
        <v>687</v>
      </c>
    </row>
    <row r="731" spans="1:1" x14ac:dyDescent="0.25">
      <c r="A731" s="23" t="s">
        <v>686</v>
      </c>
    </row>
    <row r="732" spans="1:1" x14ac:dyDescent="0.25">
      <c r="A732" s="23" t="s">
        <v>687</v>
      </c>
    </row>
    <row r="733" spans="1:1" x14ac:dyDescent="0.25">
      <c r="A733" s="23" t="s">
        <v>686</v>
      </c>
    </row>
    <row r="734" spans="1:1" x14ac:dyDescent="0.25">
      <c r="A734" s="23" t="s">
        <v>672</v>
      </c>
    </row>
    <row r="735" spans="1:1" x14ac:dyDescent="0.25">
      <c r="A735" s="23" t="s">
        <v>686</v>
      </c>
    </row>
    <row r="736" spans="1:1" x14ac:dyDescent="0.25">
      <c r="A736" s="23" t="s">
        <v>686</v>
      </c>
    </row>
    <row r="737" spans="1:1" x14ac:dyDescent="0.25">
      <c r="A737" s="23" t="s">
        <v>686</v>
      </c>
    </row>
    <row r="738" spans="1:1" x14ac:dyDescent="0.25">
      <c r="A738" s="23" t="s">
        <v>686</v>
      </c>
    </row>
    <row r="739" spans="1:1" x14ac:dyDescent="0.25">
      <c r="A739" s="23" t="s">
        <v>686</v>
      </c>
    </row>
    <row r="740" spans="1:1" x14ac:dyDescent="0.25">
      <c r="A740" s="23" t="s">
        <v>687</v>
      </c>
    </row>
    <row r="741" spans="1:1" x14ac:dyDescent="0.25">
      <c r="A741" s="23" t="s">
        <v>687</v>
      </c>
    </row>
    <row r="742" spans="1:1" x14ac:dyDescent="0.25">
      <c r="A742" s="23" t="s">
        <v>690</v>
      </c>
    </row>
    <row r="743" spans="1:1" x14ac:dyDescent="0.25">
      <c r="A743" s="23" t="s">
        <v>687</v>
      </c>
    </row>
    <row r="744" spans="1:1" x14ac:dyDescent="0.25">
      <c r="A744" s="23" t="s">
        <v>687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Cover</vt:lpstr>
      <vt:lpstr>Evaluation</vt:lpstr>
      <vt:lpstr>Finale finale Tabelle</vt:lpstr>
      <vt:lpstr>6.3 (Dummy, no extracteds)</vt:lpstr>
      <vt:lpstr>6.3 (DT, no extracteds)</vt:lpstr>
      <vt:lpstr>6.3 RF (no extracteds)</vt:lpstr>
      <vt:lpstr>6.3 Dummy </vt:lpstr>
      <vt:lpstr>6.3 Dummy  Values</vt:lpstr>
      <vt:lpstr>6.3 DT</vt:lpstr>
      <vt:lpstr>6.3 DT Values</vt:lpstr>
      <vt:lpstr>6.3 RF</vt:lpstr>
      <vt:lpstr>6.3 RF Values</vt:lpstr>
      <vt:lpstr>6.3 DT Tuned</vt:lpstr>
      <vt:lpstr>6.3 DT Tuned Val</vt:lpstr>
      <vt:lpstr>6.3 RF Tuned</vt:lpstr>
      <vt:lpstr>6.3 RF Tuned Val</vt:lpstr>
      <vt:lpstr>6.4 Feature Importances</vt:lpstr>
      <vt:lpstr>6.5 Best Params RF</vt:lpstr>
      <vt:lpstr>6.5 Best Params 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2019-11-02T16:01:41Z</dcterms:created>
  <dcterms:modified xsi:type="dcterms:W3CDTF">2019-11-02T16:18:54Z</dcterms:modified>
</cp:coreProperties>
</file>